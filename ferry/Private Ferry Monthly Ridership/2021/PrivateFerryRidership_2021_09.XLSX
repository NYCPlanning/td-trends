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Q:\OPEN DATA\Datasets\1. Datasets&amp; BusinessDoc_Manual\Ferry\3. Ferry Ridership\1. Data Sample\Private Ferry Ridership Counts\2021 PF Ridership\"/>
    </mc:Choice>
  </mc:AlternateContent>
  <xr:revisionPtr revIDLastSave="0" documentId="13_ncr:1_{51B0BC78-6E94-4AB2-9307-09F5DF7E75A2}" xr6:coauthVersionLast="47" xr6:coauthVersionMax="47" xr10:uidLastSave="{00000000-0000-0000-0000-000000000000}"/>
  <bookViews>
    <workbookView xWindow="-120" yWindow="-120" windowWidth="29040" windowHeight="15840" tabRatio="569" xr2:uid="{00000000-000D-0000-FFFF-FFFF00000000}"/>
  </bookViews>
  <sheets>
    <sheet name="Monthly Totals" sheetId="7" r:id="rId1"/>
    <sheet name="NYC Ferry" sheetId="1" r:id="rId2"/>
    <sheet name="NYWW (Port Imperial FC)" sheetId="2" r:id="rId3"/>
    <sheet name="SeaStreak" sheetId="3" r:id="rId4"/>
    <sheet name="New York Water Taxi" sheetId="4" r:id="rId5"/>
    <sheet name="Liberty Landing Ferry" sheetId="5" r:id="rId6"/>
  </sheets>
  <definedNames>
    <definedName name="_xlnm.Print_Area" localSheetId="0">'Monthly Totals'!$B$2:$C$18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1" i="2" l="1"/>
  <c r="Z32" i="2"/>
  <c r="Z33" i="2"/>
  <c r="Z34" i="2"/>
  <c r="Z35" i="2"/>
  <c r="Z36" i="2"/>
  <c r="Z37" i="2"/>
  <c r="Z30" i="2"/>
  <c r="Z16" i="2"/>
  <c r="AK6" i="1" l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4" i="1"/>
  <c r="AK5" i="1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J25" i="2" l="1"/>
  <c r="I25" i="2"/>
  <c r="G36" i="3" l="1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4" i="3"/>
  <c r="F24" i="3"/>
  <c r="D24" i="3"/>
  <c r="C24" i="3"/>
  <c r="G23" i="3"/>
  <c r="F23" i="3"/>
  <c r="D23" i="3"/>
  <c r="C23" i="3"/>
  <c r="G22" i="3"/>
  <c r="F22" i="3"/>
  <c r="D22" i="3"/>
  <c r="C22" i="3"/>
  <c r="G21" i="3"/>
  <c r="F21" i="3"/>
  <c r="D21" i="3"/>
  <c r="C21" i="3"/>
  <c r="G20" i="3"/>
  <c r="F20" i="3"/>
  <c r="D20" i="3"/>
  <c r="C20" i="3"/>
  <c r="G19" i="3"/>
  <c r="F19" i="3"/>
  <c r="D19" i="3"/>
  <c r="C19" i="3"/>
  <c r="G18" i="3"/>
  <c r="F18" i="3"/>
  <c r="D18" i="3"/>
  <c r="C18" i="3"/>
  <c r="G17" i="3"/>
  <c r="F17" i="3"/>
  <c r="D17" i="3"/>
  <c r="C17" i="3"/>
  <c r="G16" i="3"/>
  <c r="F16" i="3"/>
  <c r="D16" i="3"/>
  <c r="C16" i="3"/>
  <c r="G15" i="3"/>
  <c r="F15" i="3"/>
  <c r="D15" i="3"/>
  <c r="C15" i="3"/>
  <c r="G14" i="3"/>
  <c r="F14" i="3"/>
  <c r="D14" i="3"/>
  <c r="C14" i="3"/>
  <c r="G13" i="3"/>
  <c r="F13" i="3"/>
  <c r="D13" i="3"/>
  <c r="C13" i="3"/>
  <c r="G12" i="3"/>
  <c r="F12" i="3"/>
  <c r="D12" i="3"/>
  <c r="C12" i="3"/>
  <c r="G11" i="3"/>
  <c r="F11" i="3"/>
  <c r="D11" i="3"/>
  <c r="C11" i="3"/>
  <c r="G10" i="3"/>
  <c r="F10" i="3"/>
  <c r="D10" i="3"/>
  <c r="C10" i="3"/>
  <c r="I10" i="3" s="1"/>
  <c r="G9" i="3"/>
  <c r="F9" i="3"/>
  <c r="D9" i="3"/>
  <c r="C9" i="3"/>
  <c r="G8" i="3"/>
  <c r="F8" i="3"/>
  <c r="D8" i="3"/>
  <c r="C8" i="3"/>
  <c r="G7" i="3"/>
  <c r="F7" i="3"/>
  <c r="D7" i="3"/>
  <c r="C7" i="3"/>
  <c r="G6" i="3"/>
  <c r="D6" i="3"/>
  <c r="G5" i="3"/>
  <c r="F5" i="3"/>
  <c r="D5" i="3"/>
  <c r="C5" i="3"/>
  <c r="G4" i="3"/>
  <c r="F4" i="3"/>
  <c r="D4" i="3"/>
  <c r="C4" i="3"/>
  <c r="G3" i="3"/>
  <c r="F3" i="3"/>
  <c r="D3" i="3"/>
  <c r="C3" i="3"/>
  <c r="AJ38" i="1" l="1"/>
  <c r="C42" i="5" l="1"/>
  <c r="C25" i="5"/>
  <c r="C41" i="5" s="1"/>
  <c r="C37" i="5"/>
  <c r="D38" i="4"/>
  <c r="C38" i="4"/>
  <c r="D25" i="4"/>
  <c r="C25" i="4"/>
  <c r="K42" i="4" s="1"/>
  <c r="L42" i="4" s="1"/>
  <c r="E3" i="4"/>
  <c r="E4" i="4"/>
  <c r="E5" i="4"/>
  <c r="E6" i="4"/>
  <c r="E7" i="4"/>
  <c r="E31" i="4"/>
  <c r="E32" i="4"/>
  <c r="E8" i="4"/>
  <c r="E9" i="4"/>
  <c r="E10" i="4"/>
  <c r="E11" i="4"/>
  <c r="E12" i="4"/>
  <c r="E33" i="4"/>
  <c r="E34" i="4"/>
  <c r="E13" i="4"/>
  <c r="E14" i="4"/>
  <c r="E15" i="4"/>
  <c r="E16" i="4"/>
  <c r="E17" i="4"/>
  <c r="E35" i="4"/>
  <c r="E36" i="4"/>
  <c r="E18" i="4"/>
  <c r="E19" i="4"/>
  <c r="E20" i="4"/>
  <c r="E21" i="4"/>
  <c r="E22" i="4"/>
  <c r="E37" i="4"/>
  <c r="E23" i="4"/>
  <c r="E24" i="4"/>
  <c r="E30" i="4"/>
  <c r="D37" i="3"/>
  <c r="E37" i="3"/>
  <c r="F37" i="3"/>
  <c r="G37" i="3"/>
  <c r="H37" i="3"/>
  <c r="C37" i="3"/>
  <c r="I36" i="3"/>
  <c r="I30" i="3"/>
  <c r="I31" i="3"/>
  <c r="I32" i="3"/>
  <c r="I33" i="3"/>
  <c r="I34" i="3"/>
  <c r="I35" i="3"/>
  <c r="I29" i="3"/>
  <c r="I3" i="3"/>
  <c r="C25" i="3"/>
  <c r="C38" i="2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C38" i="1"/>
  <c r="AK37" i="1"/>
  <c r="E38" i="4" l="1"/>
  <c r="E44" i="4"/>
  <c r="C40" i="5"/>
  <c r="C8" i="7" s="1"/>
  <c r="E25" i="4"/>
  <c r="I37" i="3"/>
  <c r="E43" i="4" l="1"/>
  <c r="E42" i="4"/>
  <c r="C7" i="7" s="1"/>
  <c r="AK3" i="1"/>
  <c r="AK30" i="1"/>
  <c r="AK31" i="1"/>
  <c r="AK32" i="1"/>
  <c r="AK33" i="1"/>
  <c r="AK34" i="1"/>
  <c r="AK35" i="1"/>
  <c r="AK36" i="1"/>
  <c r="AK38" i="1" l="1"/>
  <c r="AK25" i="1"/>
  <c r="F44" i="1"/>
  <c r="C25" i="1"/>
  <c r="F42" i="1" l="1"/>
  <c r="C9" i="7" s="1"/>
  <c r="D25" i="3" l="1"/>
  <c r="E25" i="3"/>
  <c r="F25" i="3"/>
  <c r="G25" i="3"/>
  <c r="H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9" i="3"/>
  <c r="I8" i="3"/>
  <c r="I7" i="3"/>
  <c r="I6" i="3"/>
  <c r="I5" i="3"/>
  <c r="I4" i="3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L41" i="2" s="1"/>
  <c r="J41" i="2"/>
  <c r="H25" i="2"/>
  <c r="G25" i="2"/>
  <c r="F25" i="2"/>
  <c r="E25" i="2"/>
  <c r="D25" i="2"/>
  <c r="C25" i="2"/>
  <c r="Z24" i="2"/>
  <c r="Z23" i="2"/>
  <c r="Z22" i="2"/>
  <c r="Z21" i="2"/>
  <c r="Z20" i="2"/>
  <c r="Z19" i="2"/>
  <c r="Z18" i="2"/>
  <c r="Z17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D25" i="1"/>
  <c r="E25" i="1"/>
  <c r="F43" i="1"/>
  <c r="L40" i="3" l="1"/>
  <c r="K41" i="2"/>
  <c r="F42" i="3"/>
  <c r="J40" i="3"/>
  <c r="I41" i="2"/>
  <c r="I42" i="1"/>
  <c r="L42" i="1"/>
  <c r="C16" i="7" s="1"/>
  <c r="K42" i="1"/>
  <c r="I25" i="3"/>
  <c r="Z38" i="2"/>
  <c r="Z25" i="2"/>
  <c r="F43" i="2"/>
  <c r="M40" i="3" l="1"/>
  <c r="C15" i="7"/>
  <c r="M41" i="2"/>
  <c r="C14" i="7"/>
  <c r="C19" i="7"/>
  <c r="F41" i="3"/>
  <c r="F40" i="3"/>
  <c r="C6" i="7" s="1"/>
  <c r="C13" i="7"/>
  <c r="M42" i="1"/>
  <c r="F41" i="2"/>
  <c r="C5" i="7" s="1"/>
  <c r="F42" i="2"/>
  <c r="C24" i="7" l="1"/>
  <c r="C26" i="7" s="1"/>
  <c r="C10" i="7"/>
  <c r="C17" i="7"/>
</calcChain>
</file>

<file path=xl/sharedStrings.xml><?xml version="1.0" encoding="utf-8"?>
<sst xmlns="http://schemas.openxmlformats.org/spreadsheetml/2006/main" count="442" uniqueCount="101">
  <si>
    <t>Day</t>
  </si>
  <si>
    <t>Date</t>
  </si>
  <si>
    <t>Rockaway</t>
  </si>
  <si>
    <t>South Brooklyn</t>
  </si>
  <si>
    <t>Astoria</t>
  </si>
  <si>
    <t>Soundview</t>
  </si>
  <si>
    <t>St. George</t>
  </si>
  <si>
    <t>Total</t>
  </si>
  <si>
    <t>Pier 11</t>
  </si>
  <si>
    <t>South Williamsburg</t>
  </si>
  <si>
    <t>North Williamsburg</t>
  </si>
  <si>
    <t>Greenpoint</t>
  </si>
  <si>
    <t>Hunters Point South</t>
  </si>
  <si>
    <t>East 34th Street</t>
  </si>
  <si>
    <t>Corlears Hook</t>
  </si>
  <si>
    <t>Brooklyn Navy Yard</t>
  </si>
  <si>
    <t>Long Island City</t>
  </si>
  <si>
    <t>Roosevelt Island</t>
  </si>
  <si>
    <t>Stuyvesant Cove</t>
  </si>
  <si>
    <t>Governors Island</t>
  </si>
  <si>
    <t>Sunday</t>
  </si>
  <si>
    <t>Monday</t>
  </si>
  <si>
    <t>Tuesday</t>
  </si>
  <si>
    <t>Wednesday</t>
  </si>
  <si>
    <t>Thursday</t>
  </si>
  <si>
    <t>Friday</t>
  </si>
  <si>
    <t>Saturday</t>
  </si>
  <si>
    <t>Totals</t>
  </si>
  <si>
    <t>Pier 6 BBP Atlantic Ave</t>
  </si>
  <si>
    <t>Redhook / Ikea Shuttle</t>
  </si>
  <si>
    <t>World Financial Center/ BPT</t>
  </si>
  <si>
    <t>Pier 79</t>
  </si>
  <si>
    <t>Paulus Hook</t>
  </si>
  <si>
    <t>Liberty Harbor</t>
  </si>
  <si>
    <t>Hoboken</t>
  </si>
  <si>
    <t>Weehawken</t>
  </si>
  <si>
    <t>Belford</t>
  </si>
  <si>
    <t>Edgewater-Downtown</t>
  </si>
  <si>
    <t>Governors Island (GI Ferry Slip)</t>
  </si>
  <si>
    <t>E34th St</t>
  </si>
  <si>
    <t>WFC/BPT</t>
  </si>
  <si>
    <t>Ikea Redhook</t>
  </si>
  <si>
    <t>Weehawken Hoboken North</t>
  </si>
  <si>
    <t>Weehawken Midtown</t>
  </si>
  <si>
    <t>Lincoln Harbor</t>
  </si>
  <si>
    <t>Edgewater</t>
  </si>
  <si>
    <t>Hoboken North</t>
  </si>
  <si>
    <t>Lincoln Harbor - HoboN (WE)</t>
  </si>
  <si>
    <t>Governors Island - Atlantic Basin</t>
  </si>
  <si>
    <t>BMB Slip #5</t>
  </si>
  <si>
    <t>Atlantic Highlands</t>
  </si>
  <si>
    <t>Highlands</t>
  </si>
  <si>
    <t>Sandy Hook</t>
  </si>
  <si>
    <t>NYU / Langone Shuttle</t>
  </si>
  <si>
    <t>E 34 St</t>
  </si>
  <si>
    <t>World Financial Center</t>
  </si>
  <si>
    <t>Liberty Landing Ferry</t>
  </si>
  <si>
    <t>Monthly Totals</t>
  </si>
  <si>
    <t>Ridership by Operator</t>
  </si>
  <si>
    <t>NY Waterway</t>
  </si>
  <si>
    <t>SeaStreak</t>
  </si>
  <si>
    <t xml:space="preserve">New York Water Taxi </t>
  </si>
  <si>
    <t>NYC Ferry</t>
  </si>
  <si>
    <t>Ridership by Landing</t>
  </si>
  <si>
    <t>BMB Slip 5</t>
  </si>
  <si>
    <t>Bay Ridge</t>
  </si>
  <si>
    <t>Number of Weekdays in Month</t>
  </si>
  <si>
    <t>Weekday Average</t>
  </si>
  <si>
    <t>Weekday</t>
  </si>
  <si>
    <t>East River</t>
  </si>
  <si>
    <t>Wall St Pier 11</t>
  </si>
  <si>
    <t>Dumbo BBP Pier 1</t>
  </si>
  <si>
    <t>Sunset Park BAT</t>
  </si>
  <si>
    <t/>
  </si>
  <si>
    <t>Governor's Island</t>
  </si>
  <si>
    <t>Atlantic Ave BBP Pier 6</t>
  </si>
  <si>
    <t>Red Hook Atlantic Basin</t>
  </si>
  <si>
    <t>East 34th Stree</t>
  </si>
  <si>
    <t>East 90th St</t>
  </si>
  <si>
    <t xml:space="preserve">SG Battery Park City Vesey St </t>
  </si>
  <si>
    <t>SG Midtown West W 39th St Pier 79</t>
  </si>
  <si>
    <t>SG St George</t>
  </si>
  <si>
    <t>Yankee Pier</t>
  </si>
  <si>
    <t>NYC Ferry Monthly Totals</t>
  </si>
  <si>
    <t>Weekday Total</t>
  </si>
  <si>
    <t>Weekdays</t>
  </si>
  <si>
    <t>Weekend</t>
  </si>
  <si>
    <t>BMB</t>
  </si>
  <si>
    <t>NY Waterway Monthly Totals</t>
  </si>
  <si>
    <t>SeaStreak Monthly Totals</t>
  </si>
  <si>
    <t>Sunset Park /BAT</t>
  </si>
  <si>
    <t>NY Water Taxi Monthly Totals</t>
  </si>
  <si>
    <t>Liberty Landing Ferry Monthly Totals</t>
  </si>
  <si>
    <r>
      <t>Average Weekday Ridership by Operator*</t>
    </r>
    <r>
      <rPr>
        <b/>
        <sz val="8"/>
        <color indexed="8"/>
        <rFont val="Calibri"/>
        <family val="2"/>
        <scheme val="minor"/>
      </rPr>
      <t xml:space="preserve"> </t>
    </r>
  </si>
  <si>
    <t>* Average of Each Operator's Average Weekday Passenger Count</t>
  </si>
  <si>
    <t>Ridership by (DOT-Owned) Landing</t>
  </si>
  <si>
    <t>** Sum of Each Operator's Monthly Weekday Total Passenger Count</t>
  </si>
  <si>
    <t xml:space="preserve">Monthly Weekday Totals** </t>
  </si>
  <si>
    <t>*** Sum of Operator's Weekday Totals / Number of Weekdays in Month</t>
  </si>
  <si>
    <t>Weekday (Daily) Average - All Operators***</t>
  </si>
  <si>
    <t>Closed for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</si>
</sst>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mm/dd/yy;@"/>
    <numFmt numFmtId="165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8B"/>
        <bgColor rgb="FF00008B"/>
      </patternFill>
    </fill>
    <fill>
      <patternFill patternType="solid">
        <fgColor rgb="FF00839C"/>
        <bgColor rgb="FF00839C"/>
      </patternFill>
    </fill>
    <fill>
      <patternFill patternType="solid">
        <fgColor rgb="FFB218AA"/>
        <bgColor rgb="FFB218AA"/>
      </patternFill>
    </fill>
    <fill>
      <patternFill patternType="solid">
        <fgColor rgb="FFFB7598"/>
        <bgColor rgb="FFFB7598"/>
      </patternFill>
    </fill>
    <fill>
      <patternFill patternType="solid">
        <fgColor rgb="FFFF6B00"/>
        <bgColor rgb="FFFF6B00"/>
      </patternFill>
    </fill>
    <fill>
      <patternFill patternType="solid">
        <fgColor rgb="FF4E008E"/>
        <bgColor rgb="FF4E008E"/>
      </patternFill>
    </fill>
    <fill>
      <patternFill patternType="solid">
        <fgColor rgb="FFD7006E"/>
        <bgColor rgb="FFD7006E"/>
      </patternFill>
    </fill>
    <fill>
      <patternFill patternType="solid">
        <fgColor rgb="FF00A1E1"/>
        <bgColor rgb="FF00A1E1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3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4" fillId="10" borderId="2" xfId="0" applyNumberFormat="1" applyFont="1" applyFill="1" applyBorder="1" applyAlignment="1">
      <alignment horizontal="center" vertical="top" wrapText="1" readingOrder="1"/>
    </xf>
    <xf numFmtId="0" fontId="4" fillId="11" borderId="2" xfId="0" applyNumberFormat="1" applyFont="1" applyFill="1" applyBorder="1" applyAlignment="1">
      <alignment horizontal="center" vertical="top" wrapText="1" readingOrder="1"/>
    </xf>
    <xf numFmtId="0" fontId="4" fillId="12" borderId="2" xfId="0" applyNumberFormat="1" applyFont="1" applyFill="1" applyBorder="1" applyAlignment="1">
      <alignment horizontal="center" vertical="top" wrapText="1" readingOrder="1"/>
    </xf>
    <xf numFmtId="0" fontId="4" fillId="7" borderId="2" xfId="0" applyNumberFormat="1" applyFont="1" applyFill="1" applyBorder="1" applyAlignment="1">
      <alignment horizontal="center" vertical="center" wrapText="1" readingOrder="1"/>
    </xf>
    <xf numFmtId="0" fontId="4" fillId="8" borderId="2" xfId="0" applyNumberFormat="1" applyFont="1" applyFill="1" applyBorder="1" applyAlignment="1">
      <alignment horizontal="center" vertical="center" wrapText="1" readingOrder="1"/>
    </xf>
    <xf numFmtId="0" fontId="4" fillId="9" borderId="2" xfId="0" applyNumberFormat="1" applyFont="1" applyFill="1" applyBorder="1" applyAlignment="1">
      <alignment horizontal="center" vertical="center" wrapText="1" readingOrder="1"/>
    </xf>
    <xf numFmtId="0" fontId="4" fillId="10" borderId="2" xfId="0" applyNumberFormat="1" applyFont="1" applyFill="1" applyBorder="1" applyAlignment="1">
      <alignment horizontal="center" vertical="center" wrapText="1" readingOrder="1"/>
    </xf>
    <xf numFmtId="0" fontId="4" fillId="11" borderId="2" xfId="0" applyNumberFormat="1" applyFont="1" applyFill="1" applyBorder="1" applyAlignment="1">
      <alignment horizontal="center" vertical="center" wrapText="1" readingOrder="1"/>
    </xf>
    <xf numFmtId="0" fontId="4" fillId="12" borderId="2" xfId="0" applyNumberFormat="1" applyFont="1" applyFill="1" applyBorder="1" applyAlignment="1">
      <alignment horizontal="center" vertical="center" wrapText="1" readingOrder="1"/>
    </xf>
    <xf numFmtId="0" fontId="4" fillId="13" borderId="2" xfId="0" applyNumberFormat="1" applyFont="1" applyFill="1" applyBorder="1" applyAlignment="1">
      <alignment horizontal="center" vertical="center" wrapText="1" readingOrder="1"/>
    </xf>
    <xf numFmtId="0" fontId="4" fillId="14" borderId="2" xfId="0" applyNumberFormat="1" applyFont="1" applyFill="1" applyBorder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3" fontId="0" fillId="0" borderId="2" xfId="0" applyNumberFormat="1" applyFont="1" applyBorder="1" applyAlignment="1">
      <alignment horizontal="right"/>
    </xf>
    <xf numFmtId="3" fontId="0" fillId="0" borderId="2" xfId="0" applyNumberFormat="1" applyFont="1" applyFill="1" applyBorder="1" applyAlignment="1">
      <alignment horizontal="right"/>
    </xf>
    <xf numFmtId="0" fontId="5" fillId="0" borderId="2" xfId="0" applyNumberFormat="1" applyFont="1" applyFill="1" applyBorder="1" applyAlignment="1">
      <alignment vertical="top" wrapText="1" readingOrder="1"/>
    </xf>
    <xf numFmtId="3" fontId="2" fillId="2" borderId="2" xfId="0" applyNumberFormat="1" applyFont="1" applyFill="1" applyBorder="1" applyAlignment="1">
      <alignment horizontal="right"/>
    </xf>
    <xf numFmtId="37" fontId="6" fillId="0" borderId="2" xfId="0" applyNumberFormat="1" applyFont="1" applyFill="1" applyBorder="1" applyAlignment="1">
      <alignment horizontal="right"/>
    </xf>
    <xf numFmtId="0" fontId="0" fillId="0" borderId="2" xfId="0" applyFont="1" applyBorder="1" applyAlignment="1">
      <alignment horizontal="right"/>
    </xf>
    <xf numFmtId="165" fontId="0" fillId="0" borderId="2" xfId="0" applyNumberFormat="1" applyFont="1" applyBorder="1"/>
    <xf numFmtId="41" fontId="0" fillId="0" borderId="2" xfId="0" applyNumberFormat="1" applyFont="1" applyBorder="1" applyAlignment="1">
      <alignment horizontal="right"/>
    </xf>
    <xf numFmtId="165" fontId="0" fillId="0" borderId="2" xfId="0" applyNumberFormat="1" applyFont="1" applyFill="1" applyBorder="1"/>
    <xf numFmtId="0" fontId="0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1" fontId="0" fillId="0" borderId="2" xfId="0" applyNumberFormat="1" applyFont="1" applyBorder="1" applyAlignment="1">
      <alignment horizontal="right"/>
    </xf>
    <xf numFmtId="1" fontId="0" fillId="0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3" fontId="0" fillId="0" borderId="2" xfId="0" applyNumberFormat="1" applyFont="1" applyBorder="1" applyAlignment="1"/>
    <xf numFmtId="3" fontId="0" fillId="2" borderId="2" xfId="0" applyNumberFormat="1" applyFont="1" applyFill="1" applyBorder="1"/>
    <xf numFmtId="38" fontId="0" fillId="2" borderId="2" xfId="0" applyNumberFormat="1" applyFont="1" applyFill="1" applyBorder="1"/>
    <xf numFmtId="3" fontId="2" fillId="2" borderId="2" xfId="0" applyNumberFormat="1" applyFont="1" applyFill="1" applyBorder="1"/>
    <xf numFmtId="0" fontId="0" fillId="0" borderId="0" xfId="0" applyFont="1" applyBorder="1"/>
    <xf numFmtId="0" fontId="0" fillId="0" borderId="0" xfId="0" applyFont="1" applyFill="1" applyBorder="1"/>
    <xf numFmtId="3" fontId="7" fillId="3" borderId="2" xfId="0" applyNumberFormat="1" applyFont="1" applyFill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Border="1"/>
    <xf numFmtId="3" fontId="8" fillId="0" borderId="0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0" fillId="4" borderId="2" xfId="0" applyNumberFormat="1" applyFont="1" applyFill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 applyFont="1" applyFill="1" applyBorder="1" applyAlignment="1">
      <alignment horizontal="right"/>
    </xf>
    <xf numFmtId="0" fontId="10" fillId="0" borderId="0" xfId="0" applyFont="1"/>
    <xf numFmtId="3" fontId="10" fillId="0" borderId="0" xfId="0" applyNumberFormat="1" applyFont="1"/>
    <xf numFmtId="3" fontId="8" fillId="3" borderId="2" xfId="0" applyNumberFormat="1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38" fontId="2" fillId="2" borderId="2" xfId="0" applyNumberFormat="1" applyFont="1" applyFill="1" applyBorder="1"/>
    <xf numFmtId="3" fontId="0" fillId="0" borderId="2" xfId="0" applyNumberFormat="1" applyFont="1" applyBorder="1" applyAlignment="1">
      <alignment horizontal="right" readingOrder="1"/>
    </xf>
    <xf numFmtId="3" fontId="0" fillId="0" borderId="2" xfId="0" applyNumberFormat="1" applyFont="1" applyFill="1" applyBorder="1" applyAlignment="1">
      <alignment horizontal="right" readingOrder="1"/>
    </xf>
    <xf numFmtId="3" fontId="0" fillId="0" borderId="2" xfId="0" applyNumberFormat="1" applyFont="1" applyBorder="1" applyAlignment="1">
      <alignment horizontal="center" readingOrder="1"/>
    </xf>
    <xf numFmtId="3" fontId="0" fillId="0" borderId="2" xfId="0" applyNumberFormat="1" applyFont="1" applyFill="1" applyBorder="1" applyAlignment="1">
      <alignment horizontal="center" readingOrder="1"/>
    </xf>
    <xf numFmtId="0" fontId="0" fillId="0" borderId="2" xfId="0" applyBorder="1"/>
    <xf numFmtId="164" fontId="0" fillId="0" borderId="6" xfId="0" applyNumberFormat="1" applyFont="1" applyBorder="1" applyAlignment="1">
      <alignment horizontal="right"/>
    </xf>
    <xf numFmtId="3" fontId="12" fillId="0" borderId="2" xfId="0" applyNumberFormat="1" applyFont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164" fontId="0" fillId="0" borderId="2" xfId="0" applyNumberFormat="1" applyFont="1" applyFill="1" applyBorder="1" applyAlignment="1">
      <alignment horizontal="right"/>
    </xf>
    <xf numFmtId="3" fontId="0" fillId="0" borderId="2" xfId="0" applyNumberFormat="1" applyFont="1" applyBorder="1" applyAlignment="1">
      <alignment readingOrder="1"/>
    </xf>
    <xf numFmtId="3" fontId="0" fillId="0" borderId="2" xfId="0" applyNumberFormat="1" applyFont="1" applyFill="1" applyBorder="1" applyAlignment="1">
      <alignment readingOrder="1"/>
    </xf>
    <xf numFmtId="165" fontId="0" fillId="0" borderId="0" xfId="0" applyNumberFormat="1"/>
    <xf numFmtId="165" fontId="0" fillId="0" borderId="2" xfId="0" applyNumberFormat="1" applyBorder="1"/>
    <xf numFmtId="165" fontId="0" fillId="0" borderId="2" xfId="0" applyNumberFormat="1" applyFill="1" applyBorder="1"/>
    <xf numFmtId="0" fontId="0" fillId="0" borderId="2" xfId="0" applyFont="1" applyBorder="1"/>
    <xf numFmtId="0" fontId="0" fillId="0" borderId="0" xfId="0" applyFont="1" applyFill="1" applyAlignment="1">
      <alignment horizontal="center"/>
    </xf>
    <xf numFmtId="0" fontId="0" fillId="0" borderId="2" xfId="0" applyFont="1" applyFill="1" applyBorder="1"/>
    <xf numFmtId="38" fontId="3" fillId="0" borderId="7" xfId="0" applyNumberFormat="1" applyFont="1" applyFill="1" applyBorder="1" applyAlignment="1">
      <alignment horizontal="center" wrapText="1"/>
    </xf>
    <xf numFmtId="38" fontId="3" fillId="0" borderId="2" xfId="0" applyNumberFormat="1" applyFont="1" applyFill="1" applyBorder="1" applyAlignment="1">
      <alignment horizont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1" fillId="6" borderId="2" xfId="0" applyNumberFormat="1" applyFont="1" applyFill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3" fontId="7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0" fontId="4" fillId="7" borderId="2" xfId="0" applyNumberFormat="1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/>
    </xf>
    <xf numFmtId="0" fontId="4" fillId="14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vertical="top" wrapText="1"/>
    </xf>
    <xf numFmtId="0" fontId="4" fillId="10" borderId="2" xfId="0" applyNumberFormat="1" applyFont="1" applyFill="1" applyBorder="1" applyAlignment="1">
      <alignment horizontal="center" vertical="top" wrapText="1" readingOrder="1"/>
    </xf>
    <xf numFmtId="0" fontId="4" fillId="11" borderId="2" xfId="0" applyNumberFormat="1" applyFont="1" applyFill="1" applyBorder="1" applyAlignment="1">
      <alignment horizontal="center" vertical="top" wrapText="1" readingOrder="1"/>
    </xf>
    <xf numFmtId="0" fontId="4" fillId="12" borderId="2" xfId="0" applyNumberFormat="1" applyFont="1" applyFill="1" applyBorder="1" applyAlignment="1">
      <alignment horizontal="center" vertical="top" wrapText="1" readingOrder="1"/>
    </xf>
    <xf numFmtId="0" fontId="4" fillId="13" borderId="2" xfId="0" applyNumberFormat="1" applyFont="1" applyFill="1" applyBorder="1" applyAlignment="1">
      <alignment horizontal="center" vertical="top" wrapText="1" readingOrder="1"/>
    </xf>
    <xf numFmtId="0" fontId="4" fillId="7" borderId="2" xfId="0" applyNumberFormat="1" applyFont="1" applyFill="1" applyBorder="1" applyAlignment="1">
      <alignment horizontal="center" vertical="top" wrapText="1" readingOrder="1"/>
    </xf>
    <xf numFmtId="0" fontId="4" fillId="8" borderId="2" xfId="0" applyNumberFormat="1" applyFont="1" applyFill="1" applyBorder="1" applyAlignment="1">
      <alignment horizontal="center" vertical="top" wrapText="1" readingOrder="1"/>
    </xf>
    <xf numFmtId="0" fontId="4" fillId="9" borderId="2" xfId="0" applyNumberFormat="1" applyFont="1" applyFill="1" applyBorder="1" applyAlignment="1">
      <alignment horizontal="center" vertical="top" wrapText="1" readingOrder="1"/>
    </xf>
    <xf numFmtId="0" fontId="1" fillId="6" borderId="2" xfId="0" applyFont="1" applyFill="1" applyBorder="1" applyAlignment="1">
      <alignment horizontal="center" vertical="center"/>
    </xf>
    <xf numFmtId="3" fontId="1" fillId="6" borderId="4" xfId="0" applyNumberFormat="1" applyFont="1" applyFill="1" applyBorder="1" applyAlignment="1">
      <alignment horizontal="center" vertical="center" wrapText="1"/>
    </xf>
    <xf numFmtId="3" fontId="1" fillId="6" borderId="5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3" fontId="1" fillId="6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9"/>
  <sheetViews>
    <sheetView tabSelected="1" zoomScaleNormal="100" workbookViewId="0">
      <selection activeCell="K14" sqref="K14"/>
    </sheetView>
  </sheetViews>
  <sheetFormatPr defaultRowHeight="15" x14ac:dyDescent="0.25"/>
  <cols>
    <col min="1" max="1" width="3.140625" style="2" customWidth="1"/>
    <col min="2" max="2" width="38.5703125" style="2" customWidth="1"/>
    <col min="3" max="3" width="18.140625" style="2" customWidth="1"/>
    <col min="4" max="4" width="9.140625" style="2"/>
    <col min="5" max="5" width="20.85546875" style="2" customWidth="1"/>
    <col min="6" max="6" width="29.7109375" style="2" bestFit="1" customWidth="1"/>
    <col min="7" max="7" width="19.85546875" style="2" customWidth="1"/>
    <col min="8" max="16384" width="9.140625" style="2"/>
  </cols>
  <sheetData>
    <row r="1" spans="2:3" ht="15.75" thickBot="1" x14ac:dyDescent="0.3"/>
    <row r="2" spans="2:3" x14ac:dyDescent="0.25">
      <c r="B2" s="85" t="s">
        <v>57</v>
      </c>
      <c r="C2" s="86"/>
    </row>
    <row r="3" spans="2:3" s="39" customFormat="1" x14ac:dyDescent="0.25">
      <c r="B3" s="87"/>
      <c r="C3" s="88"/>
    </row>
    <row r="4" spans="2:3" x14ac:dyDescent="0.25">
      <c r="B4" s="83" t="s">
        <v>58</v>
      </c>
      <c r="C4" s="84"/>
    </row>
    <row r="5" spans="2:3" ht="12.75" customHeight="1" x14ac:dyDescent="0.25">
      <c r="B5" s="41" t="s">
        <v>59</v>
      </c>
      <c r="C5" s="42">
        <f>'NYWW (Port Imperial FC)'!F41</f>
        <v>428931</v>
      </c>
    </row>
    <row r="6" spans="2:3" ht="12.75" customHeight="1" x14ac:dyDescent="0.25">
      <c r="B6" s="41" t="s">
        <v>60</v>
      </c>
      <c r="C6" s="42">
        <f>SeaStreak!F40</f>
        <v>53764</v>
      </c>
    </row>
    <row r="7" spans="2:3" ht="12.75" customHeight="1" x14ac:dyDescent="0.25">
      <c r="B7" s="43" t="s">
        <v>61</v>
      </c>
      <c r="C7" s="44">
        <f>'New York Water Taxi'!E42</f>
        <v>6972</v>
      </c>
    </row>
    <row r="8" spans="2:3" ht="12.75" customHeight="1" x14ac:dyDescent="0.25">
      <c r="B8" s="45" t="s">
        <v>56</v>
      </c>
      <c r="C8" s="44">
        <f>'Liberty Landing Ferry'!C40</f>
        <v>13321</v>
      </c>
    </row>
    <row r="9" spans="2:3" ht="13.5" customHeight="1" x14ac:dyDescent="0.25">
      <c r="B9" s="45" t="s">
        <v>62</v>
      </c>
      <c r="C9" s="44">
        <f>'NYC Ferry'!F42</f>
        <v>541631</v>
      </c>
    </row>
    <row r="10" spans="2:3" x14ac:dyDescent="0.25">
      <c r="B10" s="46" t="s">
        <v>7</v>
      </c>
      <c r="C10" s="47">
        <f>SUM(C5:C9)</f>
        <v>1044619</v>
      </c>
    </row>
    <row r="11" spans="2:3" x14ac:dyDescent="0.25">
      <c r="B11" s="48"/>
      <c r="C11" s="48"/>
    </row>
    <row r="12" spans="2:3" x14ac:dyDescent="0.25">
      <c r="B12" s="83" t="s">
        <v>95</v>
      </c>
      <c r="C12" s="84"/>
    </row>
    <row r="13" spans="2:3" x14ac:dyDescent="0.25">
      <c r="B13" s="41" t="s">
        <v>8</v>
      </c>
      <c r="C13" s="42">
        <f>SUM('NYC Ferry'!I42,'NYWW (Port Imperial FC)'!I41,SeaStreak!I40,'New York Water Taxi'!H42,'Liberty Landing Ferry'!F40)</f>
        <v>157747</v>
      </c>
    </row>
    <row r="14" spans="2:3" ht="15" customHeight="1" x14ac:dyDescent="0.25">
      <c r="B14" s="41" t="s">
        <v>64</v>
      </c>
      <c r="C14" s="42">
        <f>SUM('NYC Ferry'!J42,'NYWW (Port Imperial FC)'!J41,SeaStreak!J40,'New York Water Taxi'!I42,'Liberty Landing Ferry'!G40)</f>
        <v>162312</v>
      </c>
    </row>
    <row r="15" spans="2:3" x14ac:dyDescent="0.25">
      <c r="B15" s="43" t="s">
        <v>31</v>
      </c>
      <c r="C15" s="44">
        <f>SUM('NYC Ferry'!K42,'NYWW (Port Imperial FC)'!K41,SeaStreak!K40,'New York Water Taxi'!J42,'Liberty Landing Ferry'!H40)</f>
        <v>152558</v>
      </c>
    </row>
    <row r="16" spans="2:3" x14ac:dyDescent="0.25">
      <c r="B16" s="45" t="s">
        <v>13</v>
      </c>
      <c r="C16" s="44">
        <f>SUM('NYC Ferry'!L42,'NYWW (Port Imperial FC)'!L41,SeaStreak!L40,'New York Water Taxi'!K42,'Liberty Landing Ferry'!I40)</f>
        <v>107260</v>
      </c>
    </row>
    <row r="17" spans="2:11" x14ac:dyDescent="0.25">
      <c r="B17" s="46" t="s">
        <v>7</v>
      </c>
      <c r="C17" s="47">
        <f>SUM(C13:C16)</f>
        <v>579877</v>
      </c>
    </row>
    <row r="18" spans="2:11" ht="15" customHeight="1" x14ac:dyDescent="0.25"/>
    <row r="19" spans="2:11" ht="14.25" customHeight="1" x14ac:dyDescent="0.25">
      <c r="B19" s="89" t="s">
        <v>93</v>
      </c>
      <c r="C19" s="90">
        <f>AVERAGE('NYC Ferry'!F44,'NYWW (Port Imperial FC)'!F43,SeaStreak!F42,'New York Water Taxi'!E44,'Liberty Landing Ferry'!C42)</f>
        <v>5750.6636363636371</v>
      </c>
    </row>
    <row r="20" spans="2:11" ht="14.25" customHeight="1" x14ac:dyDescent="0.25">
      <c r="B20" s="89"/>
      <c r="C20" s="90"/>
    </row>
    <row r="21" spans="2:11" ht="15" customHeight="1" x14ac:dyDescent="0.25">
      <c r="B21" s="89"/>
      <c r="C21" s="90"/>
    </row>
    <row r="22" spans="2:11" x14ac:dyDescent="0.25">
      <c r="B22" s="89"/>
      <c r="C22" s="90"/>
    </row>
    <row r="23" spans="2:11" x14ac:dyDescent="0.25">
      <c r="B23" s="49"/>
      <c r="C23" s="49"/>
    </row>
    <row r="24" spans="2:11" ht="48.75" customHeight="1" x14ac:dyDescent="0.25">
      <c r="B24" s="50" t="s">
        <v>97</v>
      </c>
      <c r="C24" s="51">
        <f>SUM('NYC Ferry'!F43,'NYWW (Port Imperial FC)'!F42,SeaStreak!F41,'New York Water Taxi'!E43,'Liberty Landing Ferry'!C41)</f>
        <v>632573</v>
      </c>
      <c r="J24" s="1"/>
      <c r="K24" s="1"/>
    </row>
    <row r="25" spans="2:11" x14ac:dyDescent="0.25">
      <c r="B25" s="52" t="s">
        <v>66</v>
      </c>
      <c r="C25" s="51">
        <v>22</v>
      </c>
      <c r="J25" s="1"/>
      <c r="K25" s="1"/>
    </row>
    <row r="26" spans="2:11" x14ac:dyDescent="0.25">
      <c r="B26" s="81" t="s">
        <v>99</v>
      </c>
      <c r="C26" s="82">
        <f>C24/C25</f>
        <v>28753.31818181818</v>
      </c>
      <c r="J26" s="1"/>
      <c r="K26" s="1"/>
    </row>
    <row r="27" spans="2:11" x14ac:dyDescent="0.25">
      <c r="B27" s="81"/>
      <c r="C27" s="82"/>
      <c r="J27" s="1"/>
      <c r="K27" s="1"/>
    </row>
    <row r="28" spans="2:11" x14ac:dyDescent="0.25">
      <c r="B28" s="81"/>
      <c r="C28" s="82"/>
      <c r="J28" s="1"/>
      <c r="K28" s="1"/>
    </row>
    <row r="29" spans="2:11" x14ac:dyDescent="0.25">
      <c r="K29" s="1"/>
    </row>
    <row r="30" spans="2:11" s="56" customFormat="1" ht="12.75" x14ac:dyDescent="0.2">
      <c r="B30" s="56" t="s">
        <v>94</v>
      </c>
      <c r="J30" s="57"/>
      <c r="K30" s="57"/>
    </row>
    <row r="31" spans="2:11" s="56" customFormat="1" ht="12.75" x14ac:dyDescent="0.2">
      <c r="B31" s="56" t="s">
        <v>96</v>
      </c>
      <c r="J31" s="57"/>
      <c r="K31" s="57"/>
    </row>
    <row r="32" spans="2:11" x14ac:dyDescent="0.25">
      <c r="B32" s="56" t="s">
        <v>98</v>
      </c>
      <c r="J32" s="1"/>
      <c r="K32" s="1"/>
    </row>
    <row r="33" spans="10:11" x14ac:dyDescent="0.25">
      <c r="J33" s="1"/>
      <c r="K33" s="1"/>
    </row>
    <row r="34" spans="10:11" x14ac:dyDescent="0.25">
      <c r="J34" s="1"/>
      <c r="K34" s="1"/>
    </row>
    <row r="35" spans="10:11" x14ac:dyDescent="0.25">
      <c r="J35" s="1"/>
      <c r="K35" s="1"/>
    </row>
    <row r="36" spans="10:11" x14ac:dyDescent="0.25">
      <c r="J36" s="1"/>
      <c r="K36" s="1"/>
    </row>
    <row r="37" spans="10:11" x14ac:dyDescent="0.25">
      <c r="J37" s="1"/>
      <c r="K37" s="1"/>
    </row>
    <row r="38" spans="10:11" x14ac:dyDescent="0.25">
      <c r="J38" s="1"/>
      <c r="K38" s="1"/>
    </row>
    <row r="39" spans="10:11" x14ac:dyDescent="0.25">
      <c r="J39" s="1"/>
      <c r="K39" s="1"/>
    </row>
    <row r="40" spans="10:11" x14ac:dyDescent="0.25">
      <c r="J40" s="1"/>
      <c r="K40" s="1"/>
    </row>
    <row r="41" spans="10:11" x14ac:dyDescent="0.25">
      <c r="J41" s="1"/>
      <c r="K41" s="1"/>
    </row>
    <row r="42" spans="10:11" x14ac:dyDescent="0.25">
      <c r="J42" s="1"/>
      <c r="K42" s="1"/>
    </row>
    <row r="43" spans="10:11" x14ac:dyDescent="0.25">
      <c r="J43" s="1"/>
    </row>
    <row r="44" spans="10:11" x14ac:dyDescent="0.25">
      <c r="J44" s="1"/>
      <c r="K44" s="1"/>
    </row>
    <row r="45" spans="10:11" x14ac:dyDescent="0.25">
      <c r="J45" s="1"/>
    </row>
    <row r="46" spans="10:11" x14ac:dyDescent="0.25">
      <c r="J46" s="1"/>
      <c r="K46" s="1"/>
    </row>
    <row r="47" spans="10:11" x14ac:dyDescent="0.25">
      <c r="J47" s="1"/>
      <c r="K47" s="1"/>
    </row>
    <row r="48" spans="10:11" x14ac:dyDescent="0.25">
      <c r="J48" s="1"/>
      <c r="K48" s="1"/>
    </row>
    <row r="49" spans="10:11" x14ac:dyDescent="0.25">
      <c r="J49" s="1"/>
      <c r="K49" s="1"/>
    </row>
  </sheetData>
  <mergeCells count="8">
    <mergeCell ref="B26:B28"/>
    <mergeCell ref="C26:C28"/>
    <mergeCell ref="B12:C12"/>
    <mergeCell ref="B2:C2"/>
    <mergeCell ref="B3:C3"/>
    <mergeCell ref="B4:C4"/>
    <mergeCell ref="B19:B22"/>
    <mergeCell ref="C19:C22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4"/>
  <sheetViews>
    <sheetView zoomScale="90" zoomScaleNormal="90" workbookViewId="0">
      <selection activeCell="E53" sqref="E53:E54"/>
    </sheetView>
  </sheetViews>
  <sheetFormatPr defaultColWidth="12.7109375" defaultRowHeight="15" x14ac:dyDescent="0.25"/>
  <cols>
    <col min="1" max="1" width="12.7109375" style="2"/>
    <col min="2" max="2" width="11.5703125" style="2" customWidth="1"/>
    <col min="3" max="15" width="12.7109375" style="2" customWidth="1"/>
    <col min="16" max="16" width="13.140625" style="2" bestFit="1" customWidth="1"/>
    <col min="17" max="17" width="11.28515625" style="2" bestFit="1" customWidth="1"/>
    <col min="18" max="18" width="9.5703125" style="2" bestFit="1" customWidth="1"/>
    <col min="19" max="19" width="8.28515625" style="2" bestFit="1" customWidth="1"/>
    <col min="20" max="20" width="11.28515625" style="2" bestFit="1" customWidth="1"/>
    <col min="21" max="21" width="9.85546875" style="2" bestFit="1" customWidth="1"/>
    <col min="22" max="22" width="8.85546875" style="2" bestFit="1" customWidth="1"/>
    <col min="23" max="23" width="10.85546875" style="2" bestFit="1" customWidth="1"/>
    <col min="24" max="24" width="9.85546875" style="2" bestFit="1" customWidth="1"/>
    <col min="25" max="25" width="7.28515625" style="2" bestFit="1" customWidth="1"/>
    <col min="26" max="26" width="11" style="2" bestFit="1" customWidth="1"/>
    <col min="27" max="27" width="11.28515625" style="2" bestFit="1" customWidth="1"/>
    <col min="28" max="28" width="8.85546875" style="2" bestFit="1" customWidth="1"/>
    <col min="29" max="29" width="11" style="2" bestFit="1" customWidth="1"/>
    <col min="30" max="30" width="10.85546875" style="2" bestFit="1" customWidth="1"/>
    <col min="31" max="31" width="10.7109375" style="2" bestFit="1" customWidth="1"/>
    <col min="32" max="36" width="12.7109375" style="2" customWidth="1"/>
    <col min="37" max="37" width="13" style="2" bestFit="1" customWidth="1"/>
    <col min="38" max="38" width="18.140625" style="2" bestFit="1" customWidth="1"/>
    <col min="39" max="16384" width="12.7109375" style="2"/>
  </cols>
  <sheetData>
    <row r="1" spans="1:37" ht="14.25" customHeight="1" x14ac:dyDescent="0.25">
      <c r="A1" s="99" t="s">
        <v>85</v>
      </c>
      <c r="B1" s="99"/>
      <c r="C1" s="100" t="s">
        <v>69</v>
      </c>
      <c r="D1" s="100"/>
      <c r="E1" s="100"/>
      <c r="F1" s="100"/>
      <c r="G1" s="100"/>
      <c r="H1" s="100"/>
      <c r="I1" s="100"/>
      <c r="J1" s="101" t="s">
        <v>2</v>
      </c>
      <c r="K1" s="94"/>
      <c r="L1" s="94"/>
      <c r="M1" s="95" t="s">
        <v>3</v>
      </c>
      <c r="N1" s="94"/>
      <c r="O1" s="94"/>
      <c r="P1" s="94"/>
      <c r="Q1" s="94"/>
      <c r="R1" s="94"/>
      <c r="S1" s="5" t="s">
        <v>73</v>
      </c>
      <c r="T1" s="96" t="s">
        <v>4</v>
      </c>
      <c r="U1" s="94"/>
      <c r="V1" s="94"/>
      <c r="W1" s="94"/>
      <c r="X1" s="94"/>
      <c r="Y1" s="94"/>
      <c r="Z1" s="6" t="s">
        <v>73</v>
      </c>
      <c r="AA1" s="97" t="s">
        <v>5</v>
      </c>
      <c r="AB1" s="94"/>
      <c r="AC1" s="94"/>
      <c r="AD1" s="94"/>
      <c r="AE1" s="7" t="s">
        <v>73</v>
      </c>
      <c r="AF1" s="98" t="s">
        <v>6</v>
      </c>
      <c r="AG1" s="94"/>
      <c r="AH1" s="94"/>
      <c r="AI1" s="93" t="s">
        <v>74</v>
      </c>
      <c r="AJ1" s="94"/>
      <c r="AK1" s="91" t="s">
        <v>7</v>
      </c>
    </row>
    <row r="2" spans="1:37" ht="44.25" customHeight="1" x14ac:dyDescent="0.25">
      <c r="A2" s="8" t="s">
        <v>0</v>
      </c>
      <c r="B2" s="8" t="s">
        <v>1</v>
      </c>
      <c r="C2" s="9" t="s">
        <v>70</v>
      </c>
      <c r="D2" s="9" t="s">
        <v>71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10" t="s">
        <v>70</v>
      </c>
      <c r="K2" s="10" t="s">
        <v>72</v>
      </c>
      <c r="L2" s="10" t="s">
        <v>2</v>
      </c>
      <c r="M2" s="11" t="s">
        <v>70</v>
      </c>
      <c r="N2" s="11" t="s">
        <v>71</v>
      </c>
      <c r="O2" s="11" t="s">
        <v>75</v>
      </c>
      <c r="P2" s="11" t="s">
        <v>76</v>
      </c>
      <c r="Q2" s="11" t="s">
        <v>72</v>
      </c>
      <c r="R2" s="11" t="s">
        <v>65</v>
      </c>
      <c r="S2" s="11" t="s">
        <v>14</v>
      </c>
      <c r="T2" s="12" t="s">
        <v>70</v>
      </c>
      <c r="U2" s="12" t="s">
        <v>15</v>
      </c>
      <c r="V2" s="12" t="s">
        <v>77</v>
      </c>
      <c r="W2" s="12" t="s">
        <v>16</v>
      </c>
      <c r="X2" s="12" t="s">
        <v>17</v>
      </c>
      <c r="Y2" s="12" t="s">
        <v>4</v>
      </c>
      <c r="Z2" s="12" t="s">
        <v>78</v>
      </c>
      <c r="AA2" s="13" t="s">
        <v>70</v>
      </c>
      <c r="AB2" s="13" t="s">
        <v>13</v>
      </c>
      <c r="AC2" s="13" t="s">
        <v>78</v>
      </c>
      <c r="AD2" s="13" t="s">
        <v>5</v>
      </c>
      <c r="AE2" s="13" t="s">
        <v>18</v>
      </c>
      <c r="AF2" s="14" t="s">
        <v>79</v>
      </c>
      <c r="AG2" s="14" t="s">
        <v>80</v>
      </c>
      <c r="AH2" s="14" t="s">
        <v>81</v>
      </c>
      <c r="AI2" s="15" t="s">
        <v>70</v>
      </c>
      <c r="AJ2" s="15" t="s">
        <v>82</v>
      </c>
      <c r="AK2" s="91"/>
    </row>
    <row r="3" spans="1:37" x14ac:dyDescent="0.25">
      <c r="A3" s="16" t="s">
        <v>23</v>
      </c>
      <c r="B3" s="17">
        <v>44440</v>
      </c>
      <c r="C3" s="20">
        <v>306</v>
      </c>
      <c r="D3" s="20">
        <v>245</v>
      </c>
      <c r="E3" s="20">
        <v>205</v>
      </c>
      <c r="F3" s="20">
        <v>418</v>
      </c>
      <c r="G3" s="20"/>
      <c r="H3" s="20">
        <v>224</v>
      </c>
      <c r="I3" s="20">
        <v>529</v>
      </c>
      <c r="J3" s="20">
        <v>318</v>
      </c>
      <c r="K3" s="20">
        <v>116</v>
      </c>
      <c r="L3" s="71">
        <v>275</v>
      </c>
      <c r="M3" s="71">
        <v>190</v>
      </c>
      <c r="N3" s="71">
        <v>45</v>
      </c>
      <c r="O3" s="71">
        <v>94</v>
      </c>
      <c r="P3" s="71">
        <v>74</v>
      </c>
      <c r="Q3" s="71">
        <v>40</v>
      </c>
      <c r="R3" s="71">
        <v>69</v>
      </c>
      <c r="S3" s="71">
        <v>33</v>
      </c>
      <c r="T3" s="71">
        <v>206</v>
      </c>
      <c r="U3" s="71">
        <v>196</v>
      </c>
      <c r="V3" s="71">
        <v>369</v>
      </c>
      <c r="W3" s="71">
        <v>317</v>
      </c>
      <c r="X3" s="71">
        <v>173</v>
      </c>
      <c r="Y3" s="71">
        <v>278</v>
      </c>
      <c r="Z3" s="71">
        <v>163</v>
      </c>
      <c r="AA3" s="71">
        <v>238</v>
      </c>
      <c r="AB3" s="20">
        <v>200</v>
      </c>
      <c r="AC3" s="71">
        <v>215</v>
      </c>
      <c r="AD3" s="71">
        <v>342</v>
      </c>
      <c r="AE3" s="71">
        <v>101</v>
      </c>
      <c r="AF3" s="71">
        <v>76</v>
      </c>
      <c r="AG3" s="71">
        <v>116</v>
      </c>
      <c r="AH3" s="71">
        <v>173</v>
      </c>
      <c r="AI3" s="64"/>
      <c r="AJ3" s="62"/>
      <c r="AK3" s="62">
        <f t="shared" ref="AK3:AK24" si="0">SUM(C3:AJ3)</f>
        <v>6344</v>
      </c>
    </row>
    <row r="4" spans="1:37" x14ac:dyDescent="0.25">
      <c r="A4" s="16" t="s">
        <v>24</v>
      </c>
      <c r="B4" s="17">
        <v>44441</v>
      </c>
      <c r="C4" s="20">
        <v>922</v>
      </c>
      <c r="D4" s="20">
        <v>991</v>
      </c>
      <c r="E4" s="20">
        <v>409</v>
      </c>
      <c r="F4" s="20">
        <v>1107</v>
      </c>
      <c r="G4" s="20"/>
      <c r="H4" s="20">
        <v>689</v>
      </c>
      <c r="I4" s="20">
        <v>1299</v>
      </c>
      <c r="J4" s="20">
        <v>632</v>
      </c>
      <c r="K4" s="20">
        <v>190</v>
      </c>
      <c r="L4" s="71">
        <v>523</v>
      </c>
      <c r="M4" s="71">
        <v>475</v>
      </c>
      <c r="N4" s="71">
        <v>278</v>
      </c>
      <c r="O4" s="71">
        <v>317</v>
      </c>
      <c r="P4" s="71">
        <v>126</v>
      </c>
      <c r="Q4" s="71">
        <v>86</v>
      </c>
      <c r="R4" s="71">
        <v>198</v>
      </c>
      <c r="S4" s="71">
        <v>86</v>
      </c>
      <c r="T4" s="71">
        <v>596</v>
      </c>
      <c r="U4" s="71">
        <v>311</v>
      </c>
      <c r="V4" s="71">
        <v>740</v>
      </c>
      <c r="W4" s="71">
        <v>701</v>
      </c>
      <c r="X4" s="71">
        <v>573</v>
      </c>
      <c r="Y4" s="71">
        <v>795</v>
      </c>
      <c r="Z4" s="71">
        <v>566</v>
      </c>
      <c r="AA4" s="71">
        <v>549</v>
      </c>
      <c r="AB4" s="20">
        <v>429</v>
      </c>
      <c r="AC4" s="71">
        <v>479</v>
      </c>
      <c r="AD4" s="71">
        <v>617</v>
      </c>
      <c r="AE4" s="71">
        <v>221</v>
      </c>
      <c r="AF4" s="71">
        <v>159</v>
      </c>
      <c r="AG4" s="71">
        <v>250</v>
      </c>
      <c r="AH4" s="71">
        <v>297</v>
      </c>
      <c r="AI4" s="64"/>
      <c r="AJ4" s="62"/>
      <c r="AK4" s="62">
        <f>SUM(C4:AJ4)</f>
        <v>15611</v>
      </c>
    </row>
    <row r="5" spans="1:37" x14ac:dyDescent="0.25">
      <c r="A5" s="16" t="s">
        <v>25</v>
      </c>
      <c r="B5" s="17">
        <v>44442</v>
      </c>
      <c r="C5" s="20">
        <v>1265</v>
      </c>
      <c r="D5" s="20">
        <v>1537</v>
      </c>
      <c r="E5" s="20">
        <v>515</v>
      </c>
      <c r="F5" s="20">
        <v>1386</v>
      </c>
      <c r="G5" s="20"/>
      <c r="H5" s="20">
        <v>943</v>
      </c>
      <c r="I5" s="20">
        <v>1524</v>
      </c>
      <c r="J5" s="20">
        <v>1220</v>
      </c>
      <c r="K5" s="20">
        <v>294</v>
      </c>
      <c r="L5" s="71">
        <v>1143</v>
      </c>
      <c r="M5" s="71">
        <v>704</v>
      </c>
      <c r="N5" s="71">
        <v>397</v>
      </c>
      <c r="O5" s="71">
        <v>459</v>
      </c>
      <c r="P5" s="71">
        <v>278</v>
      </c>
      <c r="Q5" s="71">
        <v>121</v>
      </c>
      <c r="R5" s="71">
        <v>421</v>
      </c>
      <c r="S5" s="71">
        <v>174</v>
      </c>
      <c r="T5" s="71">
        <v>737</v>
      </c>
      <c r="U5" s="71">
        <v>334</v>
      </c>
      <c r="V5" s="71">
        <v>661</v>
      </c>
      <c r="W5" s="71">
        <v>855</v>
      </c>
      <c r="X5" s="71">
        <v>577</v>
      </c>
      <c r="Y5" s="71">
        <v>844</v>
      </c>
      <c r="Z5" s="71">
        <v>567</v>
      </c>
      <c r="AA5" s="71">
        <v>688</v>
      </c>
      <c r="AB5" s="20">
        <v>457</v>
      </c>
      <c r="AC5" s="71">
        <v>610</v>
      </c>
      <c r="AD5" s="71">
        <v>901</v>
      </c>
      <c r="AE5" s="71">
        <v>275</v>
      </c>
      <c r="AF5" s="71">
        <v>214</v>
      </c>
      <c r="AG5" s="71">
        <v>308</v>
      </c>
      <c r="AH5" s="71">
        <v>487</v>
      </c>
      <c r="AI5" s="64"/>
      <c r="AJ5" s="62"/>
      <c r="AK5" s="62">
        <f t="shared" si="0"/>
        <v>20896</v>
      </c>
    </row>
    <row r="6" spans="1:37" x14ac:dyDescent="0.25">
      <c r="A6" s="16" t="s">
        <v>21</v>
      </c>
      <c r="B6" s="17">
        <v>44445</v>
      </c>
      <c r="C6" s="20">
        <v>768</v>
      </c>
      <c r="D6" s="20"/>
      <c r="E6" s="20">
        <v>357</v>
      </c>
      <c r="F6" s="20">
        <v>1019</v>
      </c>
      <c r="G6" s="20"/>
      <c r="H6" s="20">
        <v>603</v>
      </c>
      <c r="I6" s="20">
        <v>1233</v>
      </c>
      <c r="J6" s="20">
        <v>823</v>
      </c>
      <c r="K6" s="20">
        <v>241</v>
      </c>
      <c r="L6" s="20">
        <v>838</v>
      </c>
      <c r="M6" s="20">
        <v>433</v>
      </c>
      <c r="N6" s="20"/>
      <c r="O6" s="20">
        <v>184</v>
      </c>
      <c r="P6" s="20">
        <v>135</v>
      </c>
      <c r="Q6" s="20">
        <v>107</v>
      </c>
      <c r="R6" s="20">
        <v>213</v>
      </c>
      <c r="S6" s="20">
        <v>88</v>
      </c>
      <c r="T6" s="20">
        <v>412</v>
      </c>
      <c r="U6" s="20">
        <v>295</v>
      </c>
      <c r="V6" s="20">
        <v>614</v>
      </c>
      <c r="W6" s="20">
        <v>615</v>
      </c>
      <c r="X6" s="20">
        <v>426</v>
      </c>
      <c r="Y6" s="20">
        <v>524</v>
      </c>
      <c r="Z6" s="20">
        <v>430</v>
      </c>
      <c r="AA6" s="20">
        <v>508</v>
      </c>
      <c r="AB6" s="20">
        <v>383</v>
      </c>
      <c r="AC6" s="20">
        <v>454</v>
      </c>
      <c r="AD6" s="20">
        <v>697</v>
      </c>
      <c r="AE6" s="20">
        <v>238</v>
      </c>
      <c r="AF6" s="20">
        <v>184</v>
      </c>
      <c r="AG6" s="20">
        <v>273</v>
      </c>
      <c r="AH6" s="20">
        <v>391</v>
      </c>
      <c r="AI6" s="64"/>
      <c r="AJ6" s="62"/>
      <c r="AK6" s="62">
        <f>SUM(C6:AJ6)</f>
        <v>13486</v>
      </c>
    </row>
    <row r="7" spans="1:37" x14ac:dyDescent="0.25">
      <c r="A7" s="16" t="s">
        <v>22</v>
      </c>
      <c r="B7" s="17">
        <v>44446</v>
      </c>
      <c r="C7" s="20">
        <v>788</v>
      </c>
      <c r="D7" s="20"/>
      <c r="E7" s="20">
        <v>454</v>
      </c>
      <c r="F7" s="20">
        <v>1246</v>
      </c>
      <c r="G7" s="20"/>
      <c r="H7" s="20">
        <v>728</v>
      </c>
      <c r="I7" s="20">
        <v>1442</v>
      </c>
      <c r="J7" s="20">
        <v>652</v>
      </c>
      <c r="K7" s="20">
        <v>217</v>
      </c>
      <c r="L7" s="20">
        <v>662</v>
      </c>
      <c r="M7" s="20">
        <v>504</v>
      </c>
      <c r="N7" s="20"/>
      <c r="O7" s="20">
        <v>264</v>
      </c>
      <c r="P7" s="20">
        <v>159</v>
      </c>
      <c r="Q7" s="20">
        <v>85</v>
      </c>
      <c r="R7" s="20">
        <v>210</v>
      </c>
      <c r="S7" s="20">
        <v>96</v>
      </c>
      <c r="T7" s="20">
        <v>425</v>
      </c>
      <c r="U7" s="20">
        <v>328</v>
      </c>
      <c r="V7" s="20">
        <v>600</v>
      </c>
      <c r="W7" s="20">
        <v>684</v>
      </c>
      <c r="X7" s="20">
        <v>300</v>
      </c>
      <c r="Y7" s="20">
        <v>500</v>
      </c>
      <c r="Z7" s="20">
        <v>380</v>
      </c>
      <c r="AA7" s="20">
        <v>489</v>
      </c>
      <c r="AB7" s="20">
        <v>357</v>
      </c>
      <c r="AC7" s="20">
        <v>431</v>
      </c>
      <c r="AD7" s="20">
        <v>660</v>
      </c>
      <c r="AE7" s="20">
        <v>194</v>
      </c>
      <c r="AF7" s="20">
        <v>209</v>
      </c>
      <c r="AG7" s="20">
        <v>322</v>
      </c>
      <c r="AH7" s="20">
        <v>443</v>
      </c>
      <c r="AI7" s="64"/>
      <c r="AJ7" s="62"/>
      <c r="AK7" s="62">
        <f t="shared" si="0"/>
        <v>13829</v>
      </c>
    </row>
    <row r="8" spans="1:37" x14ac:dyDescent="0.25">
      <c r="A8" s="16" t="s">
        <v>23</v>
      </c>
      <c r="B8" s="17">
        <v>44447</v>
      </c>
      <c r="C8" s="20">
        <v>775</v>
      </c>
      <c r="D8" s="20"/>
      <c r="E8" s="20">
        <v>345</v>
      </c>
      <c r="F8" s="20">
        <v>1101</v>
      </c>
      <c r="G8" s="20"/>
      <c r="H8" s="20">
        <v>578</v>
      </c>
      <c r="I8" s="20">
        <v>1279</v>
      </c>
      <c r="J8" s="20">
        <v>582</v>
      </c>
      <c r="K8" s="20">
        <v>191</v>
      </c>
      <c r="L8" s="20">
        <v>527</v>
      </c>
      <c r="M8" s="20">
        <v>505</v>
      </c>
      <c r="N8" s="20"/>
      <c r="O8" s="20">
        <v>248</v>
      </c>
      <c r="P8" s="20">
        <v>186</v>
      </c>
      <c r="Q8" s="20">
        <v>79</v>
      </c>
      <c r="R8" s="20">
        <v>217</v>
      </c>
      <c r="S8" s="20">
        <v>54</v>
      </c>
      <c r="T8" s="20">
        <v>506</v>
      </c>
      <c r="U8" s="20">
        <v>297</v>
      </c>
      <c r="V8" s="20">
        <v>654</v>
      </c>
      <c r="W8" s="20">
        <v>625</v>
      </c>
      <c r="X8" s="20">
        <v>368</v>
      </c>
      <c r="Y8" s="20">
        <v>572</v>
      </c>
      <c r="Z8" s="20">
        <v>401</v>
      </c>
      <c r="AA8" s="20">
        <v>500</v>
      </c>
      <c r="AB8" s="20">
        <v>403</v>
      </c>
      <c r="AC8" s="20">
        <v>486</v>
      </c>
      <c r="AD8" s="20">
        <v>718</v>
      </c>
      <c r="AE8" s="20">
        <v>217</v>
      </c>
      <c r="AF8" s="20">
        <v>188</v>
      </c>
      <c r="AG8" s="20">
        <v>252</v>
      </c>
      <c r="AH8" s="20">
        <v>417</v>
      </c>
      <c r="AI8" s="64"/>
      <c r="AJ8" s="62"/>
      <c r="AK8" s="62">
        <f t="shared" si="0"/>
        <v>13271</v>
      </c>
    </row>
    <row r="9" spans="1:37" x14ac:dyDescent="0.25">
      <c r="A9" s="16" t="s">
        <v>24</v>
      </c>
      <c r="B9" s="17">
        <v>44448</v>
      </c>
      <c r="C9" s="20">
        <v>766</v>
      </c>
      <c r="D9" s="20"/>
      <c r="E9" s="20">
        <v>959</v>
      </c>
      <c r="F9" s="20">
        <v>880</v>
      </c>
      <c r="G9" s="20"/>
      <c r="H9" s="20">
        <v>847</v>
      </c>
      <c r="I9" s="20">
        <v>1154</v>
      </c>
      <c r="J9" s="20">
        <v>576</v>
      </c>
      <c r="K9" s="20">
        <v>217</v>
      </c>
      <c r="L9" s="20">
        <v>573</v>
      </c>
      <c r="M9" s="20">
        <v>537</v>
      </c>
      <c r="N9" s="20"/>
      <c r="O9" s="20">
        <v>548</v>
      </c>
      <c r="P9" s="20">
        <v>157</v>
      </c>
      <c r="Q9" s="20">
        <v>443</v>
      </c>
      <c r="R9" s="20">
        <v>241</v>
      </c>
      <c r="S9" s="20">
        <v>97</v>
      </c>
      <c r="T9" s="20">
        <v>387</v>
      </c>
      <c r="U9" s="20">
        <v>418</v>
      </c>
      <c r="V9" s="20">
        <v>630</v>
      </c>
      <c r="W9" s="20">
        <v>553</v>
      </c>
      <c r="X9" s="20">
        <v>506</v>
      </c>
      <c r="Y9" s="20">
        <v>542</v>
      </c>
      <c r="Z9" s="20">
        <v>332</v>
      </c>
      <c r="AA9" s="20">
        <v>431</v>
      </c>
      <c r="AB9" s="20">
        <v>333</v>
      </c>
      <c r="AC9" s="20">
        <v>343</v>
      </c>
      <c r="AD9" s="20">
        <v>588</v>
      </c>
      <c r="AE9" s="20">
        <v>202</v>
      </c>
      <c r="AF9" s="20">
        <v>145</v>
      </c>
      <c r="AG9" s="20">
        <v>225</v>
      </c>
      <c r="AH9" s="20">
        <v>304</v>
      </c>
      <c r="AI9" s="64"/>
      <c r="AJ9" s="62"/>
      <c r="AK9" s="62">
        <f t="shared" si="0"/>
        <v>13934</v>
      </c>
    </row>
    <row r="10" spans="1:37" x14ac:dyDescent="0.25">
      <c r="A10" s="16" t="s">
        <v>25</v>
      </c>
      <c r="B10" s="17">
        <v>44449</v>
      </c>
      <c r="C10" s="20">
        <v>1214</v>
      </c>
      <c r="D10" s="20"/>
      <c r="E10" s="20">
        <v>1109</v>
      </c>
      <c r="F10" s="20">
        <v>1344</v>
      </c>
      <c r="G10" s="20"/>
      <c r="H10" s="20">
        <v>1077</v>
      </c>
      <c r="I10" s="20">
        <v>1572</v>
      </c>
      <c r="J10" s="20">
        <v>695</v>
      </c>
      <c r="K10" s="20">
        <v>230</v>
      </c>
      <c r="L10" s="20">
        <v>621</v>
      </c>
      <c r="M10" s="20">
        <v>619</v>
      </c>
      <c r="N10" s="20"/>
      <c r="O10" s="20">
        <v>553</v>
      </c>
      <c r="P10" s="20">
        <v>215</v>
      </c>
      <c r="Q10" s="20">
        <v>393</v>
      </c>
      <c r="R10" s="20">
        <v>289</v>
      </c>
      <c r="S10" s="20">
        <v>114</v>
      </c>
      <c r="T10" s="20">
        <v>582</v>
      </c>
      <c r="U10" s="20">
        <v>401</v>
      </c>
      <c r="V10" s="20">
        <v>724</v>
      </c>
      <c r="W10" s="20">
        <v>779</v>
      </c>
      <c r="X10" s="20">
        <v>448</v>
      </c>
      <c r="Y10" s="20">
        <v>628</v>
      </c>
      <c r="Z10" s="20">
        <v>493</v>
      </c>
      <c r="AA10" s="20">
        <v>537</v>
      </c>
      <c r="AB10" s="20">
        <v>347</v>
      </c>
      <c r="AC10" s="20">
        <v>496</v>
      </c>
      <c r="AD10" s="20">
        <v>629</v>
      </c>
      <c r="AE10" s="20">
        <v>264</v>
      </c>
      <c r="AF10" s="20">
        <v>244</v>
      </c>
      <c r="AG10" s="20">
        <v>229</v>
      </c>
      <c r="AH10" s="20">
        <v>387</v>
      </c>
      <c r="AI10" s="64"/>
      <c r="AJ10" s="62"/>
      <c r="AK10" s="62">
        <f t="shared" si="0"/>
        <v>17233</v>
      </c>
    </row>
    <row r="11" spans="1:37" x14ac:dyDescent="0.25">
      <c r="A11" s="16" t="s">
        <v>21</v>
      </c>
      <c r="B11" s="17">
        <v>44452</v>
      </c>
      <c r="C11" s="20">
        <v>845</v>
      </c>
      <c r="D11" s="20"/>
      <c r="E11" s="72">
        <v>361</v>
      </c>
      <c r="F11" s="72">
        <v>1003</v>
      </c>
      <c r="G11" s="72"/>
      <c r="H11" s="72">
        <v>612</v>
      </c>
      <c r="I11" s="72">
        <v>1165</v>
      </c>
      <c r="J11" s="72">
        <v>976</v>
      </c>
      <c r="K11" s="72">
        <v>237</v>
      </c>
      <c r="L11" s="72">
        <v>929</v>
      </c>
      <c r="M11" s="72">
        <v>525</v>
      </c>
      <c r="N11" s="72"/>
      <c r="O11" s="72">
        <v>222</v>
      </c>
      <c r="P11" s="72">
        <v>139</v>
      </c>
      <c r="Q11" s="72">
        <v>81</v>
      </c>
      <c r="R11" s="72">
        <v>202</v>
      </c>
      <c r="S11" s="72">
        <v>57</v>
      </c>
      <c r="T11" s="72">
        <v>546</v>
      </c>
      <c r="U11" s="72">
        <v>342</v>
      </c>
      <c r="V11" s="72">
        <v>695</v>
      </c>
      <c r="W11" s="72">
        <v>651</v>
      </c>
      <c r="X11" s="72">
        <v>370</v>
      </c>
      <c r="Y11" s="72">
        <v>574</v>
      </c>
      <c r="Z11" s="72">
        <v>415</v>
      </c>
      <c r="AA11" s="72">
        <v>609</v>
      </c>
      <c r="AB11" s="72">
        <v>386</v>
      </c>
      <c r="AC11" s="72">
        <v>458</v>
      </c>
      <c r="AD11" s="72">
        <v>709</v>
      </c>
      <c r="AE11" s="72">
        <v>233</v>
      </c>
      <c r="AF11" s="72">
        <v>196</v>
      </c>
      <c r="AG11" s="72">
        <v>242</v>
      </c>
      <c r="AH11" s="72">
        <v>392</v>
      </c>
      <c r="AI11" s="64"/>
      <c r="AJ11" s="62"/>
      <c r="AK11" s="62">
        <f t="shared" si="0"/>
        <v>14172</v>
      </c>
    </row>
    <row r="12" spans="1:37" x14ac:dyDescent="0.25">
      <c r="A12" s="16" t="s">
        <v>22</v>
      </c>
      <c r="B12" s="17">
        <v>44453</v>
      </c>
      <c r="C12" s="20">
        <v>815</v>
      </c>
      <c r="D12" s="20"/>
      <c r="E12" s="72">
        <v>438</v>
      </c>
      <c r="F12" s="72">
        <v>1153</v>
      </c>
      <c r="G12" s="72"/>
      <c r="H12" s="72">
        <v>706</v>
      </c>
      <c r="I12" s="72">
        <v>1379</v>
      </c>
      <c r="J12" s="72">
        <v>701</v>
      </c>
      <c r="K12" s="72">
        <v>238</v>
      </c>
      <c r="L12" s="72">
        <v>650</v>
      </c>
      <c r="M12" s="72">
        <v>524</v>
      </c>
      <c r="N12" s="72"/>
      <c r="O12" s="72">
        <v>268</v>
      </c>
      <c r="P12" s="72">
        <v>167</v>
      </c>
      <c r="Q12" s="72">
        <v>117</v>
      </c>
      <c r="R12" s="72">
        <v>243</v>
      </c>
      <c r="S12" s="72">
        <v>86</v>
      </c>
      <c r="T12" s="72">
        <v>523</v>
      </c>
      <c r="U12" s="72">
        <v>345</v>
      </c>
      <c r="V12" s="72">
        <v>774</v>
      </c>
      <c r="W12" s="72">
        <v>661</v>
      </c>
      <c r="X12" s="72">
        <v>426</v>
      </c>
      <c r="Y12" s="72">
        <v>623</v>
      </c>
      <c r="Z12" s="72">
        <v>409</v>
      </c>
      <c r="AA12" s="72">
        <v>622</v>
      </c>
      <c r="AB12" s="72">
        <v>412</v>
      </c>
      <c r="AC12" s="72">
        <v>552</v>
      </c>
      <c r="AD12" s="72">
        <v>717</v>
      </c>
      <c r="AE12" s="72">
        <v>264</v>
      </c>
      <c r="AF12" s="72">
        <v>176</v>
      </c>
      <c r="AG12" s="72">
        <v>267</v>
      </c>
      <c r="AH12" s="72">
        <v>376</v>
      </c>
      <c r="AI12" s="64"/>
      <c r="AJ12" s="62"/>
      <c r="AK12" s="62">
        <f t="shared" si="0"/>
        <v>14632</v>
      </c>
    </row>
    <row r="13" spans="1:37" x14ac:dyDescent="0.25">
      <c r="A13" s="16" t="s">
        <v>23</v>
      </c>
      <c r="B13" s="17">
        <v>44454</v>
      </c>
      <c r="C13" s="20">
        <v>891</v>
      </c>
      <c r="D13" s="20"/>
      <c r="E13" s="72">
        <v>382</v>
      </c>
      <c r="F13" s="72">
        <v>1167</v>
      </c>
      <c r="G13" s="72"/>
      <c r="H13" s="72">
        <v>497</v>
      </c>
      <c r="I13" s="72">
        <v>1359</v>
      </c>
      <c r="J13" s="72">
        <v>993</v>
      </c>
      <c r="K13" s="72">
        <v>262</v>
      </c>
      <c r="L13" s="72">
        <v>941</v>
      </c>
      <c r="M13" s="72">
        <v>553</v>
      </c>
      <c r="N13" s="72"/>
      <c r="O13" s="72">
        <v>237</v>
      </c>
      <c r="P13" s="72">
        <v>164</v>
      </c>
      <c r="Q13" s="72">
        <v>94</v>
      </c>
      <c r="R13" s="72">
        <v>266</v>
      </c>
      <c r="S13" s="72">
        <v>132</v>
      </c>
      <c r="T13" s="72">
        <v>561</v>
      </c>
      <c r="U13" s="72">
        <v>369</v>
      </c>
      <c r="V13" s="72">
        <v>753</v>
      </c>
      <c r="W13" s="72">
        <v>691</v>
      </c>
      <c r="X13" s="72">
        <v>472</v>
      </c>
      <c r="Y13" s="72">
        <v>669</v>
      </c>
      <c r="Z13" s="72">
        <v>450</v>
      </c>
      <c r="AA13" s="72">
        <v>624</v>
      </c>
      <c r="AB13" s="72">
        <v>364</v>
      </c>
      <c r="AC13" s="72">
        <v>592</v>
      </c>
      <c r="AD13" s="72">
        <v>740</v>
      </c>
      <c r="AE13" s="72">
        <v>243</v>
      </c>
      <c r="AF13" s="72">
        <v>166</v>
      </c>
      <c r="AG13" s="72">
        <v>290</v>
      </c>
      <c r="AH13" s="72">
        <v>400</v>
      </c>
      <c r="AI13" s="64"/>
      <c r="AJ13" s="62"/>
      <c r="AK13" s="62">
        <f t="shared" si="0"/>
        <v>15322</v>
      </c>
    </row>
    <row r="14" spans="1:37" x14ac:dyDescent="0.25">
      <c r="A14" s="16" t="s">
        <v>24</v>
      </c>
      <c r="B14" s="17">
        <v>44455</v>
      </c>
      <c r="C14" s="20">
        <v>838</v>
      </c>
      <c r="D14" s="20"/>
      <c r="E14" s="72">
        <v>424</v>
      </c>
      <c r="F14" s="72">
        <v>1119</v>
      </c>
      <c r="G14" s="72"/>
      <c r="H14" s="72">
        <v>687</v>
      </c>
      <c r="I14" s="72">
        <v>1241</v>
      </c>
      <c r="J14" s="72">
        <v>573</v>
      </c>
      <c r="K14" s="72">
        <v>207</v>
      </c>
      <c r="L14" s="72">
        <v>580</v>
      </c>
      <c r="M14" s="72">
        <v>548</v>
      </c>
      <c r="N14" s="72"/>
      <c r="O14" s="72">
        <v>338</v>
      </c>
      <c r="P14" s="72">
        <v>163</v>
      </c>
      <c r="Q14" s="72">
        <v>103</v>
      </c>
      <c r="R14" s="72">
        <v>322</v>
      </c>
      <c r="S14" s="72">
        <v>82</v>
      </c>
      <c r="T14" s="72">
        <v>530</v>
      </c>
      <c r="U14" s="72">
        <v>325</v>
      </c>
      <c r="V14" s="72">
        <v>732</v>
      </c>
      <c r="W14" s="72">
        <v>708</v>
      </c>
      <c r="X14" s="72">
        <v>398</v>
      </c>
      <c r="Y14" s="72">
        <v>585</v>
      </c>
      <c r="Z14" s="72">
        <v>402</v>
      </c>
      <c r="AA14" s="72">
        <v>533</v>
      </c>
      <c r="AB14" s="72">
        <v>337</v>
      </c>
      <c r="AC14" s="72">
        <v>443</v>
      </c>
      <c r="AD14" s="72">
        <v>646</v>
      </c>
      <c r="AE14" s="72">
        <v>221</v>
      </c>
      <c r="AF14" s="72">
        <v>159</v>
      </c>
      <c r="AG14" s="72">
        <v>248</v>
      </c>
      <c r="AH14" s="72">
        <v>356</v>
      </c>
      <c r="AI14" s="64"/>
      <c r="AJ14" s="62"/>
      <c r="AK14" s="62">
        <f t="shared" si="0"/>
        <v>13848</v>
      </c>
    </row>
    <row r="15" spans="1:37" x14ac:dyDescent="0.25">
      <c r="A15" s="16" t="s">
        <v>25</v>
      </c>
      <c r="B15" s="70">
        <v>44456</v>
      </c>
      <c r="C15" s="20">
        <v>971</v>
      </c>
      <c r="D15" s="20"/>
      <c r="E15" s="72">
        <v>459</v>
      </c>
      <c r="F15" s="72">
        <v>1177</v>
      </c>
      <c r="G15" s="72"/>
      <c r="H15" s="72">
        <v>580</v>
      </c>
      <c r="I15" s="72">
        <v>1275</v>
      </c>
      <c r="J15" s="72">
        <v>545</v>
      </c>
      <c r="K15" s="72">
        <v>222</v>
      </c>
      <c r="L15" s="72">
        <v>471</v>
      </c>
      <c r="M15" s="72">
        <v>541</v>
      </c>
      <c r="N15" s="72"/>
      <c r="O15" s="72">
        <v>299</v>
      </c>
      <c r="P15" s="72">
        <v>171</v>
      </c>
      <c r="Q15" s="72">
        <v>78</v>
      </c>
      <c r="R15" s="72">
        <v>158</v>
      </c>
      <c r="S15" s="72">
        <v>94</v>
      </c>
      <c r="T15" s="72">
        <v>378</v>
      </c>
      <c r="U15" s="72">
        <v>314</v>
      </c>
      <c r="V15" s="72">
        <v>628</v>
      </c>
      <c r="W15" s="72">
        <v>712</v>
      </c>
      <c r="X15" s="72">
        <v>396</v>
      </c>
      <c r="Y15" s="72">
        <v>576</v>
      </c>
      <c r="Z15" s="72">
        <v>432</v>
      </c>
      <c r="AA15" s="72">
        <v>521</v>
      </c>
      <c r="AB15" s="72">
        <v>347</v>
      </c>
      <c r="AC15" s="72">
        <v>415</v>
      </c>
      <c r="AD15" s="72">
        <v>629</v>
      </c>
      <c r="AE15" s="72">
        <v>226</v>
      </c>
      <c r="AF15" s="72">
        <v>227</v>
      </c>
      <c r="AG15" s="72">
        <v>199</v>
      </c>
      <c r="AH15" s="72">
        <v>350</v>
      </c>
      <c r="AI15" s="65"/>
      <c r="AJ15" s="63"/>
      <c r="AK15" s="62">
        <f t="shared" si="0"/>
        <v>13391</v>
      </c>
    </row>
    <row r="16" spans="1:37" x14ac:dyDescent="0.25">
      <c r="A16" s="16" t="s">
        <v>21</v>
      </c>
      <c r="B16" s="70">
        <v>44459</v>
      </c>
      <c r="C16" s="20">
        <v>768</v>
      </c>
      <c r="D16" s="72"/>
      <c r="E16" s="72">
        <v>357</v>
      </c>
      <c r="F16" s="20">
        <v>1019</v>
      </c>
      <c r="G16" s="20"/>
      <c r="H16" s="72">
        <v>603</v>
      </c>
      <c r="I16" s="72">
        <v>1233</v>
      </c>
      <c r="J16" s="72">
        <v>823</v>
      </c>
      <c r="K16" s="72">
        <v>241</v>
      </c>
      <c r="L16" s="72">
        <v>838</v>
      </c>
      <c r="M16" s="72">
        <v>433</v>
      </c>
      <c r="N16" s="72"/>
      <c r="O16" s="72">
        <v>184</v>
      </c>
      <c r="P16" s="72">
        <v>135</v>
      </c>
      <c r="Q16" s="72">
        <v>107</v>
      </c>
      <c r="R16" s="72">
        <v>213</v>
      </c>
      <c r="S16" s="72">
        <v>88</v>
      </c>
      <c r="T16" s="72">
        <v>412</v>
      </c>
      <c r="U16" s="72">
        <v>295</v>
      </c>
      <c r="V16" s="72">
        <v>614</v>
      </c>
      <c r="W16" s="72">
        <v>615</v>
      </c>
      <c r="X16" s="72">
        <v>426</v>
      </c>
      <c r="Y16" s="72">
        <v>524</v>
      </c>
      <c r="Z16" s="72">
        <v>430</v>
      </c>
      <c r="AA16" s="72">
        <v>508</v>
      </c>
      <c r="AB16" s="72">
        <v>383</v>
      </c>
      <c r="AC16" s="72">
        <v>454</v>
      </c>
      <c r="AD16" s="72">
        <v>697</v>
      </c>
      <c r="AE16" s="72">
        <v>238</v>
      </c>
      <c r="AF16" s="72">
        <v>184</v>
      </c>
      <c r="AG16" s="72">
        <v>273</v>
      </c>
      <c r="AH16" s="72">
        <v>391</v>
      </c>
      <c r="AI16" s="65"/>
      <c r="AJ16" s="63"/>
      <c r="AK16" s="62">
        <f t="shared" si="0"/>
        <v>13486</v>
      </c>
    </row>
    <row r="17" spans="1:37" x14ac:dyDescent="0.25">
      <c r="A17" s="16" t="s">
        <v>22</v>
      </c>
      <c r="B17" s="70">
        <v>44460</v>
      </c>
      <c r="C17" s="20">
        <v>788</v>
      </c>
      <c r="D17" s="72"/>
      <c r="E17" s="72">
        <v>454</v>
      </c>
      <c r="F17" s="20">
        <v>1246</v>
      </c>
      <c r="G17" s="20"/>
      <c r="H17" s="72">
        <v>728</v>
      </c>
      <c r="I17" s="72">
        <v>1442</v>
      </c>
      <c r="J17" s="72">
        <v>652</v>
      </c>
      <c r="K17" s="72">
        <v>217</v>
      </c>
      <c r="L17" s="72">
        <v>662</v>
      </c>
      <c r="M17" s="72">
        <v>504</v>
      </c>
      <c r="N17" s="72"/>
      <c r="O17" s="72">
        <v>264</v>
      </c>
      <c r="P17" s="72">
        <v>159</v>
      </c>
      <c r="Q17" s="72">
        <v>85</v>
      </c>
      <c r="R17" s="72">
        <v>210</v>
      </c>
      <c r="S17" s="72">
        <v>96</v>
      </c>
      <c r="T17" s="72">
        <v>425</v>
      </c>
      <c r="U17" s="72">
        <v>328</v>
      </c>
      <c r="V17" s="72">
        <v>600</v>
      </c>
      <c r="W17" s="72">
        <v>684</v>
      </c>
      <c r="X17" s="72">
        <v>300</v>
      </c>
      <c r="Y17" s="72">
        <v>500</v>
      </c>
      <c r="Z17" s="72">
        <v>380</v>
      </c>
      <c r="AA17" s="72">
        <v>489</v>
      </c>
      <c r="AB17" s="72">
        <v>357</v>
      </c>
      <c r="AC17" s="72">
        <v>431</v>
      </c>
      <c r="AD17" s="72">
        <v>660</v>
      </c>
      <c r="AE17" s="72">
        <v>194</v>
      </c>
      <c r="AF17" s="72">
        <v>209</v>
      </c>
      <c r="AG17" s="72">
        <v>322</v>
      </c>
      <c r="AH17" s="72">
        <v>443</v>
      </c>
      <c r="AI17" s="65"/>
      <c r="AJ17" s="63"/>
      <c r="AK17" s="62">
        <f t="shared" si="0"/>
        <v>13829</v>
      </c>
    </row>
    <row r="18" spans="1:37" x14ac:dyDescent="0.25">
      <c r="A18" s="16" t="s">
        <v>23</v>
      </c>
      <c r="B18" s="70">
        <v>44461</v>
      </c>
      <c r="C18" s="20">
        <v>775</v>
      </c>
      <c r="D18" s="72"/>
      <c r="E18" s="72">
        <v>345</v>
      </c>
      <c r="F18" s="20">
        <v>1101</v>
      </c>
      <c r="G18" s="20"/>
      <c r="H18" s="72">
        <v>578</v>
      </c>
      <c r="I18" s="72">
        <v>1279</v>
      </c>
      <c r="J18" s="72">
        <v>582</v>
      </c>
      <c r="K18" s="72">
        <v>191</v>
      </c>
      <c r="L18" s="72">
        <v>527</v>
      </c>
      <c r="M18" s="72">
        <v>505</v>
      </c>
      <c r="N18" s="72"/>
      <c r="O18" s="72">
        <v>248</v>
      </c>
      <c r="P18" s="72">
        <v>186</v>
      </c>
      <c r="Q18" s="72">
        <v>79</v>
      </c>
      <c r="R18" s="72">
        <v>217</v>
      </c>
      <c r="S18" s="72">
        <v>54</v>
      </c>
      <c r="T18" s="72">
        <v>506</v>
      </c>
      <c r="U18" s="72">
        <v>297</v>
      </c>
      <c r="V18" s="72">
        <v>654</v>
      </c>
      <c r="W18" s="72">
        <v>625</v>
      </c>
      <c r="X18" s="72">
        <v>368</v>
      </c>
      <c r="Y18" s="72">
        <v>572</v>
      </c>
      <c r="Z18" s="72">
        <v>401</v>
      </c>
      <c r="AA18" s="72">
        <v>500</v>
      </c>
      <c r="AB18" s="72">
        <v>403</v>
      </c>
      <c r="AC18" s="72">
        <v>486</v>
      </c>
      <c r="AD18" s="72">
        <v>718</v>
      </c>
      <c r="AE18" s="72">
        <v>217</v>
      </c>
      <c r="AF18" s="72">
        <v>188</v>
      </c>
      <c r="AG18" s="72">
        <v>252</v>
      </c>
      <c r="AH18" s="72">
        <v>417</v>
      </c>
      <c r="AI18" s="65"/>
      <c r="AJ18" s="63"/>
      <c r="AK18" s="62">
        <f t="shared" si="0"/>
        <v>13271</v>
      </c>
    </row>
    <row r="19" spans="1:37" x14ac:dyDescent="0.25">
      <c r="A19" s="16" t="s">
        <v>24</v>
      </c>
      <c r="B19" s="70">
        <v>44462</v>
      </c>
      <c r="C19" s="20">
        <v>766</v>
      </c>
      <c r="D19" s="72"/>
      <c r="E19" s="72">
        <v>959</v>
      </c>
      <c r="F19" s="20">
        <v>880</v>
      </c>
      <c r="G19" s="20"/>
      <c r="H19" s="72">
        <v>847</v>
      </c>
      <c r="I19" s="72">
        <v>1154</v>
      </c>
      <c r="J19" s="72">
        <v>576</v>
      </c>
      <c r="K19" s="72">
        <v>217</v>
      </c>
      <c r="L19" s="72">
        <v>573</v>
      </c>
      <c r="M19" s="72">
        <v>537</v>
      </c>
      <c r="N19" s="72"/>
      <c r="O19" s="72">
        <v>548</v>
      </c>
      <c r="P19" s="72">
        <v>157</v>
      </c>
      <c r="Q19" s="72">
        <v>443</v>
      </c>
      <c r="R19" s="72">
        <v>241</v>
      </c>
      <c r="S19" s="72">
        <v>97</v>
      </c>
      <c r="T19" s="72">
        <v>387</v>
      </c>
      <c r="U19" s="72">
        <v>418</v>
      </c>
      <c r="V19" s="72">
        <v>630</v>
      </c>
      <c r="W19" s="72">
        <v>553</v>
      </c>
      <c r="X19" s="72">
        <v>506</v>
      </c>
      <c r="Y19" s="72">
        <v>542</v>
      </c>
      <c r="Z19" s="72">
        <v>332</v>
      </c>
      <c r="AA19" s="72">
        <v>431</v>
      </c>
      <c r="AB19" s="72">
        <v>333</v>
      </c>
      <c r="AC19" s="72">
        <v>343</v>
      </c>
      <c r="AD19" s="72">
        <v>588</v>
      </c>
      <c r="AE19" s="72">
        <v>202</v>
      </c>
      <c r="AF19" s="72">
        <v>145</v>
      </c>
      <c r="AG19" s="72">
        <v>225</v>
      </c>
      <c r="AH19" s="72">
        <v>304</v>
      </c>
      <c r="AI19" s="65"/>
      <c r="AJ19" s="63"/>
      <c r="AK19" s="62">
        <f t="shared" si="0"/>
        <v>13934</v>
      </c>
    </row>
    <row r="20" spans="1:37" x14ac:dyDescent="0.25">
      <c r="A20" s="16" t="s">
        <v>25</v>
      </c>
      <c r="B20" s="70">
        <v>44463</v>
      </c>
      <c r="C20" s="20">
        <v>1214</v>
      </c>
      <c r="D20" s="72"/>
      <c r="E20" s="72">
        <v>1109</v>
      </c>
      <c r="F20" s="20">
        <v>1344</v>
      </c>
      <c r="G20" s="20"/>
      <c r="H20" s="72">
        <v>1077</v>
      </c>
      <c r="I20" s="72">
        <v>1572</v>
      </c>
      <c r="J20" s="72">
        <v>695</v>
      </c>
      <c r="K20" s="72">
        <v>230</v>
      </c>
      <c r="L20" s="72">
        <v>621</v>
      </c>
      <c r="M20" s="72">
        <v>619</v>
      </c>
      <c r="N20" s="72"/>
      <c r="O20" s="72">
        <v>553</v>
      </c>
      <c r="P20" s="72">
        <v>215</v>
      </c>
      <c r="Q20" s="72">
        <v>393</v>
      </c>
      <c r="R20" s="72">
        <v>289</v>
      </c>
      <c r="S20" s="72">
        <v>114</v>
      </c>
      <c r="T20" s="72">
        <v>582</v>
      </c>
      <c r="U20" s="72">
        <v>401</v>
      </c>
      <c r="V20" s="72">
        <v>724</v>
      </c>
      <c r="W20" s="72">
        <v>779</v>
      </c>
      <c r="X20" s="72">
        <v>448</v>
      </c>
      <c r="Y20" s="72">
        <v>628</v>
      </c>
      <c r="Z20" s="72">
        <v>493</v>
      </c>
      <c r="AA20" s="72">
        <v>537</v>
      </c>
      <c r="AB20" s="72">
        <v>347</v>
      </c>
      <c r="AC20" s="72">
        <v>496</v>
      </c>
      <c r="AD20" s="72">
        <v>629</v>
      </c>
      <c r="AE20" s="72">
        <v>264</v>
      </c>
      <c r="AF20" s="72">
        <v>244</v>
      </c>
      <c r="AG20" s="72">
        <v>229</v>
      </c>
      <c r="AH20" s="72">
        <v>387</v>
      </c>
      <c r="AI20" s="65"/>
      <c r="AJ20" s="63"/>
      <c r="AK20" s="62">
        <f t="shared" si="0"/>
        <v>17233</v>
      </c>
    </row>
    <row r="21" spans="1:37" x14ac:dyDescent="0.25">
      <c r="A21" s="16" t="s">
        <v>21</v>
      </c>
      <c r="B21" s="70">
        <v>44466</v>
      </c>
      <c r="C21" s="20">
        <v>818</v>
      </c>
      <c r="D21" s="72"/>
      <c r="E21" s="72">
        <v>368</v>
      </c>
      <c r="F21" s="20">
        <v>1118</v>
      </c>
      <c r="G21" s="20"/>
      <c r="H21" s="72">
        <v>580</v>
      </c>
      <c r="I21" s="72">
        <v>1271</v>
      </c>
      <c r="J21" s="72">
        <v>727</v>
      </c>
      <c r="K21" s="72">
        <v>231</v>
      </c>
      <c r="L21" s="72">
        <v>746</v>
      </c>
      <c r="M21" s="72">
        <v>557</v>
      </c>
      <c r="N21" s="72"/>
      <c r="O21" s="72">
        <v>244</v>
      </c>
      <c r="P21" s="72">
        <v>181</v>
      </c>
      <c r="Q21" s="72">
        <v>100</v>
      </c>
      <c r="R21" s="72">
        <v>243</v>
      </c>
      <c r="S21" s="72">
        <v>89</v>
      </c>
      <c r="T21" s="72">
        <v>509</v>
      </c>
      <c r="U21" s="72">
        <v>342</v>
      </c>
      <c r="V21" s="72">
        <v>584</v>
      </c>
      <c r="W21" s="72">
        <v>643</v>
      </c>
      <c r="X21" s="72">
        <v>385</v>
      </c>
      <c r="Y21" s="72">
        <v>585</v>
      </c>
      <c r="Z21" s="72">
        <v>441</v>
      </c>
      <c r="AA21" s="72">
        <v>586</v>
      </c>
      <c r="AB21" s="72">
        <v>446</v>
      </c>
      <c r="AC21" s="72">
        <v>511</v>
      </c>
      <c r="AD21" s="72">
        <v>674</v>
      </c>
      <c r="AE21" s="72">
        <v>196</v>
      </c>
      <c r="AF21" s="72">
        <v>192</v>
      </c>
      <c r="AG21" s="72">
        <v>255</v>
      </c>
      <c r="AH21" s="72">
        <v>342</v>
      </c>
      <c r="AI21" s="63"/>
      <c r="AJ21" s="63"/>
      <c r="AK21" s="62">
        <f t="shared" si="0"/>
        <v>13964</v>
      </c>
    </row>
    <row r="22" spans="1:37" x14ac:dyDescent="0.25">
      <c r="A22" s="16" t="s">
        <v>22</v>
      </c>
      <c r="B22" s="70">
        <v>44467</v>
      </c>
      <c r="C22" s="20">
        <v>534</v>
      </c>
      <c r="D22" s="72"/>
      <c r="E22" s="72">
        <v>275</v>
      </c>
      <c r="F22" s="20">
        <v>852</v>
      </c>
      <c r="G22" s="20"/>
      <c r="H22" s="72">
        <v>462</v>
      </c>
      <c r="I22" s="72">
        <v>977</v>
      </c>
      <c r="J22" s="72">
        <v>416</v>
      </c>
      <c r="K22" s="72">
        <v>142</v>
      </c>
      <c r="L22" s="72">
        <v>420</v>
      </c>
      <c r="M22" s="72">
        <v>362</v>
      </c>
      <c r="N22" s="72"/>
      <c r="O22" s="72">
        <v>200</v>
      </c>
      <c r="P22" s="72">
        <v>140</v>
      </c>
      <c r="Q22" s="72">
        <v>48</v>
      </c>
      <c r="R22" s="72">
        <v>125</v>
      </c>
      <c r="S22" s="72">
        <v>61</v>
      </c>
      <c r="T22" s="72">
        <v>380</v>
      </c>
      <c r="U22" s="72">
        <v>289</v>
      </c>
      <c r="V22" s="72">
        <v>641</v>
      </c>
      <c r="W22" s="72">
        <v>565</v>
      </c>
      <c r="X22" s="72">
        <v>307</v>
      </c>
      <c r="Y22" s="72">
        <v>490</v>
      </c>
      <c r="Z22" s="72">
        <v>328</v>
      </c>
      <c r="AA22" s="72">
        <v>479</v>
      </c>
      <c r="AB22" s="72">
        <v>338</v>
      </c>
      <c r="AC22" s="72">
        <v>386</v>
      </c>
      <c r="AD22" s="72">
        <v>569</v>
      </c>
      <c r="AE22" s="72">
        <v>228</v>
      </c>
      <c r="AF22" s="72">
        <v>156</v>
      </c>
      <c r="AG22" s="72">
        <v>233</v>
      </c>
      <c r="AH22" s="72">
        <v>310</v>
      </c>
      <c r="AI22" s="63"/>
      <c r="AJ22" s="63"/>
      <c r="AK22" s="62">
        <f t="shared" si="0"/>
        <v>10713</v>
      </c>
    </row>
    <row r="23" spans="1:37" x14ac:dyDescent="0.25">
      <c r="A23" s="16" t="s">
        <v>23</v>
      </c>
      <c r="B23" s="17">
        <v>44468</v>
      </c>
      <c r="C23" s="20">
        <v>757</v>
      </c>
      <c r="D23" s="72"/>
      <c r="E23" s="72">
        <v>411</v>
      </c>
      <c r="F23" s="20">
        <v>1126</v>
      </c>
      <c r="G23" s="20"/>
      <c r="H23" s="72">
        <v>581</v>
      </c>
      <c r="I23" s="72">
        <v>1274</v>
      </c>
      <c r="J23" s="72">
        <v>621</v>
      </c>
      <c r="K23" s="72">
        <v>171</v>
      </c>
      <c r="L23" s="72">
        <v>534</v>
      </c>
      <c r="M23" s="72">
        <v>526</v>
      </c>
      <c r="N23" s="72"/>
      <c r="O23" s="72">
        <v>231</v>
      </c>
      <c r="P23" s="72">
        <v>168</v>
      </c>
      <c r="Q23" s="72">
        <v>81</v>
      </c>
      <c r="R23" s="72">
        <v>249</v>
      </c>
      <c r="S23" s="72">
        <v>92</v>
      </c>
      <c r="T23" s="72">
        <v>485</v>
      </c>
      <c r="U23" s="72">
        <v>361</v>
      </c>
      <c r="V23" s="72">
        <v>744</v>
      </c>
      <c r="W23" s="72">
        <v>628</v>
      </c>
      <c r="X23" s="72">
        <v>389</v>
      </c>
      <c r="Y23" s="72">
        <v>566</v>
      </c>
      <c r="Z23" s="72">
        <v>397</v>
      </c>
      <c r="AA23" s="72">
        <v>613</v>
      </c>
      <c r="AB23" s="72">
        <v>395</v>
      </c>
      <c r="AC23" s="72">
        <v>486</v>
      </c>
      <c r="AD23" s="72">
        <v>661</v>
      </c>
      <c r="AE23" s="72">
        <v>215</v>
      </c>
      <c r="AF23" s="72">
        <v>188</v>
      </c>
      <c r="AG23" s="72">
        <v>283</v>
      </c>
      <c r="AH23" s="72">
        <v>404</v>
      </c>
      <c r="AI23" s="63"/>
      <c r="AJ23" s="63"/>
      <c r="AK23" s="62">
        <f t="shared" si="0"/>
        <v>13637</v>
      </c>
    </row>
    <row r="24" spans="1:37" x14ac:dyDescent="0.25">
      <c r="A24" s="16" t="s">
        <v>24</v>
      </c>
      <c r="B24" s="17">
        <v>44469</v>
      </c>
      <c r="C24" s="20">
        <v>766</v>
      </c>
      <c r="D24" s="72"/>
      <c r="E24" s="72">
        <v>430</v>
      </c>
      <c r="F24" s="20">
        <v>1011</v>
      </c>
      <c r="G24" s="20"/>
      <c r="H24" s="72">
        <v>514</v>
      </c>
      <c r="I24" s="72">
        <v>1283</v>
      </c>
      <c r="J24" s="72">
        <v>586</v>
      </c>
      <c r="K24" s="72">
        <v>245</v>
      </c>
      <c r="L24" s="72">
        <v>520</v>
      </c>
      <c r="M24" s="72">
        <v>473</v>
      </c>
      <c r="N24" s="72"/>
      <c r="O24" s="72">
        <v>298</v>
      </c>
      <c r="P24" s="72">
        <v>150</v>
      </c>
      <c r="Q24" s="72">
        <v>96</v>
      </c>
      <c r="R24" s="72">
        <v>184</v>
      </c>
      <c r="S24" s="72">
        <v>84</v>
      </c>
      <c r="T24" s="72">
        <v>474</v>
      </c>
      <c r="U24" s="72">
        <v>343</v>
      </c>
      <c r="V24" s="72">
        <v>716</v>
      </c>
      <c r="W24" s="72">
        <v>609</v>
      </c>
      <c r="X24" s="72">
        <v>365</v>
      </c>
      <c r="Y24" s="72">
        <v>581</v>
      </c>
      <c r="Z24" s="72">
        <v>415</v>
      </c>
      <c r="AA24" s="72">
        <v>471</v>
      </c>
      <c r="AB24" s="72">
        <v>374</v>
      </c>
      <c r="AC24" s="72">
        <v>404</v>
      </c>
      <c r="AD24" s="72">
        <v>648</v>
      </c>
      <c r="AE24" s="72">
        <v>189</v>
      </c>
      <c r="AF24" s="72">
        <v>228</v>
      </c>
      <c r="AG24" s="72">
        <v>281</v>
      </c>
      <c r="AH24" s="72">
        <v>391</v>
      </c>
      <c r="AI24" s="63"/>
      <c r="AJ24" s="63"/>
      <c r="AK24" s="62">
        <f t="shared" si="0"/>
        <v>13129</v>
      </c>
    </row>
    <row r="25" spans="1:37" x14ac:dyDescent="0.25">
      <c r="A25" s="92" t="s">
        <v>27</v>
      </c>
      <c r="B25" s="92"/>
      <c r="C25" s="21">
        <f t="shared" ref="C25:AK25" si="1">SUM(C3:C24)</f>
        <v>18350</v>
      </c>
      <c r="D25" s="21">
        <f t="shared" si="1"/>
        <v>2773</v>
      </c>
      <c r="E25" s="21">
        <f t="shared" si="1"/>
        <v>11125</v>
      </c>
      <c r="F25" s="21">
        <f t="shared" si="1"/>
        <v>23817</v>
      </c>
      <c r="G25" s="21">
        <f t="shared" si="1"/>
        <v>0</v>
      </c>
      <c r="H25" s="21">
        <f t="shared" si="1"/>
        <v>14741</v>
      </c>
      <c r="I25" s="21">
        <f t="shared" si="1"/>
        <v>27936</v>
      </c>
      <c r="J25" s="21">
        <f t="shared" si="1"/>
        <v>14964</v>
      </c>
      <c r="K25" s="21">
        <f t="shared" si="1"/>
        <v>4747</v>
      </c>
      <c r="L25" s="21">
        <f t="shared" si="1"/>
        <v>14174</v>
      </c>
      <c r="M25" s="21">
        <f t="shared" si="1"/>
        <v>11174</v>
      </c>
      <c r="N25" s="21">
        <f t="shared" si="1"/>
        <v>720</v>
      </c>
      <c r="O25" s="21">
        <f t="shared" si="1"/>
        <v>6801</v>
      </c>
      <c r="P25" s="21">
        <f t="shared" si="1"/>
        <v>3625</v>
      </c>
      <c r="Q25" s="21">
        <f t="shared" si="1"/>
        <v>3259</v>
      </c>
      <c r="R25" s="21">
        <f t="shared" si="1"/>
        <v>5020</v>
      </c>
      <c r="S25" s="21">
        <f t="shared" si="1"/>
        <v>1968</v>
      </c>
      <c r="T25" s="21">
        <f t="shared" si="1"/>
        <v>10549</v>
      </c>
      <c r="U25" s="21">
        <f t="shared" si="1"/>
        <v>7349</v>
      </c>
      <c r="V25" s="21">
        <f t="shared" si="1"/>
        <v>14481</v>
      </c>
      <c r="W25" s="21">
        <f t="shared" si="1"/>
        <v>14253</v>
      </c>
      <c r="X25" s="21">
        <f t="shared" si="1"/>
        <v>8927</v>
      </c>
      <c r="Y25" s="21">
        <f t="shared" si="1"/>
        <v>12698</v>
      </c>
      <c r="Z25" s="21">
        <f t="shared" si="1"/>
        <v>9057</v>
      </c>
      <c r="AA25" s="21">
        <f t="shared" si="1"/>
        <v>11463</v>
      </c>
      <c r="AB25" s="21">
        <f t="shared" si="1"/>
        <v>8131</v>
      </c>
      <c r="AC25" s="21">
        <f t="shared" si="1"/>
        <v>9971</v>
      </c>
      <c r="AD25" s="21">
        <f t="shared" si="1"/>
        <v>14437</v>
      </c>
      <c r="AE25" s="21">
        <f t="shared" si="1"/>
        <v>4842</v>
      </c>
      <c r="AF25" s="21">
        <f t="shared" si="1"/>
        <v>4077</v>
      </c>
      <c r="AG25" s="21">
        <f t="shared" si="1"/>
        <v>5574</v>
      </c>
      <c r="AH25" s="21">
        <f t="shared" si="1"/>
        <v>8162</v>
      </c>
      <c r="AI25" s="21">
        <f t="shared" si="1"/>
        <v>0</v>
      </c>
      <c r="AJ25" s="21">
        <f t="shared" si="1"/>
        <v>0</v>
      </c>
      <c r="AK25" s="21">
        <f t="shared" si="1"/>
        <v>309165</v>
      </c>
    </row>
    <row r="28" spans="1:37" s="3" customFormat="1" ht="15" customHeight="1" x14ac:dyDescent="0.25">
      <c r="A28" s="99" t="s">
        <v>86</v>
      </c>
      <c r="B28" s="99"/>
      <c r="C28" s="100" t="s">
        <v>69</v>
      </c>
      <c r="D28" s="100"/>
      <c r="E28" s="100"/>
      <c r="F28" s="100"/>
      <c r="G28" s="100"/>
      <c r="H28" s="100"/>
      <c r="I28" s="100"/>
      <c r="J28" s="101" t="s">
        <v>2</v>
      </c>
      <c r="K28" s="94"/>
      <c r="L28" s="94"/>
      <c r="M28" s="95" t="s">
        <v>3</v>
      </c>
      <c r="N28" s="94"/>
      <c r="O28" s="94"/>
      <c r="P28" s="94"/>
      <c r="Q28" s="94"/>
      <c r="R28" s="94"/>
      <c r="S28" s="5" t="s">
        <v>73</v>
      </c>
      <c r="T28" s="96" t="s">
        <v>4</v>
      </c>
      <c r="U28" s="94"/>
      <c r="V28" s="94"/>
      <c r="W28" s="94"/>
      <c r="X28" s="94"/>
      <c r="Y28" s="94"/>
      <c r="Z28" s="6" t="s">
        <v>73</v>
      </c>
      <c r="AA28" s="97" t="s">
        <v>5</v>
      </c>
      <c r="AB28" s="94"/>
      <c r="AC28" s="94"/>
      <c r="AD28" s="94"/>
      <c r="AE28" s="7" t="s">
        <v>73</v>
      </c>
      <c r="AF28" s="98" t="s">
        <v>6</v>
      </c>
      <c r="AG28" s="94"/>
      <c r="AH28" s="94"/>
      <c r="AI28" s="93" t="s">
        <v>74</v>
      </c>
      <c r="AJ28" s="94"/>
      <c r="AK28" s="91" t="s">
        <v>7</v>
      </c>
    </row>
    <row r="29" spans="1:37" s="4" customFormat="1" ht="45" x14ac:dyDescent="0.25">
      <c r="A29" s="8" t="s">
        <v>0</v>
      </c>
      <c r="B29" s="8" t="s">
        <v>1</v>
      </c>
      <c r="C29" s="9" t="s">
        <v>70</v>
      </c>
      <c r="D29" s="9" t="s">
        <v>71</v>
      </c>
      <c r="E29" s="9" t="s">
        <v>9</v>
      </c>
      <c r="F29" s="9" t="s">
        <v>10</v>
      </c>
      <c r="G29" s="9" t="s">
        <v>11</v>
      </c>
      <c r="H29" s="9" t="s">
        <v>12</v>
      </c>
      <c r="I29" s="9" t="s">
        <v>13</v>
      </c>
      <c r="J29" s="10" t="s">
        <v>70</v>
      </c>
      <c r="K29" s="10" t="s">
        <v>72</v>
      </c>
      <c r="L29" s="10" t="s">
        <v>2</v>
      </c>
      <c r="M29" s="11" t="s">
        <v>70</v>
      </c>
      <c r="N29" s="11" t="s">
        <v>71</v>
      </c>
      <c r="O29" s="11" t="s">
        <v>75</v>
      </c>
      <c r="P29" s="11" t="s">
        <v>76</v>
      </c>
      <c r="Q29" s="11" t="s">
        <v>72</v>
      </c>
      <c r="R29" s="11" t="s">
        <v>65</v>
      </c>
      <c r="S29" s="11" t="s">
        <v>14</v>
      </c>
      <c r="T29" s="12" t="s">
        <v>70</v>
      </c>
      <c r="U29" s="12" t="s">
        <v>15</v>
      </c>
      <c r="V29" s="12" t="s">
        <v>77</v>
      </c>
      <c r="W29" s="12" t="s">
        <v>16</v>
      </c>
      <c r="X29" s="12" t="s">
        <v>17</v>
      </c>
      <c r="Y29" s="12" t="s">
        <v>4</v>
      </c>
      <c r="Z29" s="12" t="s">
        <v>78</v>
      </c>
      <c r="AA29" s="13" t="s">
        <v>70</v>
      </c>
      <c r="AB29" s="13" t="s">
        <v>13</v>
      </c>
      <c r="AC29" s="13" t="s">
        <v>78</v>
      </c>
      <c r="AD29" s="13" t="s">
        <v>5</v>
      </c>
      <c r="AE29" s="13" t="s">
        <v>18</v>
      </c>
      <c r="AF29" s="14" t="s">
        <v>79</v>
      </c>
      <c r="AG29" s="14" t="s">
        <v>80</v>
      </c>
      <c r="AH29" s="14" t="s">
        <v>81</v>
      </c>
      <c r="AI29" s="15" t="s">
        <v>70</v>
      </c>
      <c r="AJ29" s="15" t="s">
        <v>82</v>
      </c>
      <c r="AK29" s="91"/>
    </row>
    <row r="30" spans="1:37" x14ac:dyDescent="0.25">
      <c r="A30" s="16" t="s">
        <v>26</v>
      </c>
      <c r="B30" s="17">
        <v>44443</v>
      </c>
      <c r="C30" s="20">
        <v>2151</v>
      </c>
      <c r="D30" s="20">
        <v>2705</v>
      </c>
      <c r="E30" s="20">
        <v>614</v>
      </c>
      <c r="F30" s="20">
        <v>2727</v>
      </c>
      <c r="G30" s="20"/>
      <c r="H30" s="20">
        <v>1582</v>
      </c>
      <c r="I30" s="20">
        <v>2113</v>
      </c>
      <c r="J30" s="20">
        <v>2731</v>
      </c>
      <c r="K30" s="20">
        <v>488</v>
      </c>
      <c r="L30" s="18">
        <v>3472</v>
      </c>
      <c r="M30" s="18">
        <v>1234</v>
      </c>
      <c r="N30" s="18">
        <v>1085</v>
      </c>
      <c r="O30" s="18">
        <v>660</v>
      </c>
      <c r="P30" s="18">
        <v>533</v>
      </c>
      <c r="Q30" s="18">
        <v>213</v>
      </c>
      <c r="R30" s="18">
        <v>865</v>
      </c>
      <c r="S30" s="18">
        <v>378</v>
      </c>
      <c r="T30" s="18">
        <v>1382</v>
      </c>
      <c r="U30" s="18">
        <v>377</v>
      </c>
      <c r="V30" s="18">
        <v>795</v>
      </c>
      <c r="W30" s="18">
        <v>1346</v>
      </c>
      <c r="X30" s="18">
        <v>972</v>
      </c>
      <c r="Y30" s="18">
        <v>1272</v>
      </c>
      <c r="Z30" s="18">
        <v>1062</v>
      </c>
      <c r="AA30" s="18">
        <v>1303</v>
      </c>
      <c r="AB30" s="20">
        <v>551</v>
      </c>
      <c r="AC30" s="18">
        <v>1087</v>
      </c>
      <c r="AD30" s="18">
        <v>983</v>
      </c>
      <c r="AE30" s="18">
        <v>421</v>
      </c>
      <c r="AF30" s="18">
        <v>340</v>
      </c>
      <c r="AG30" s="18">
        <v>459</v>
      </c>
      <c r="AH30" s="18">
        <v>740</v>
      </c>
      <c r="AI30" s="18">
        <v>759</v>
      </c>
      <c r="AJ30" s="18">
        <v>522</v>
      </c>
      <c r="AK30" s="18">
        <f t="shared" ref="AK30:AK37" si="2">SUM(C30:AJ30)</f>
        <v>37922</v>
      </c>
    </row>
    <row r="31" spans="1:37" x14ac:dyDescent="0.25">
      <c r="A31" s="16" t="s">
        <v>20</v>
      </c>
      <c r="B31" s="17">
        <v>44444</v>
      </c>
      <c r="C31" s="20">
        <v>1364</v>
      </c>
      <c r="D31" s="20">
        <v>1878</v>
      </c>
      <c r="E31" s="20">
        <v>640</v>
      </c>
      <c r="F31" s="20">
        <v>1264</v>
      </c>
      <c r="G31" s="20"/>
      <c r="H31" s="20">
        <v>835</v>
      </c>
      <c r="I31" s="20">
        <v>1401</v>
      </c>
      <c r="J31" s="20">
        <v>1102</v>
      </c>
      <c r="K31" s="20">
        <v>210</v>
      </c>
      <c r="L31" s="18">
        <v>1172</v>
      </c>
      <c r="M31" s="18">
        <v>772</v>
      </c>
      <c r="N31" s="18">
        <v>678</v>
      </c>
      <c r="O31" s="18">
        <v>390</v>
      </c>
      <c r="P31" s="18">
        <v>263</v>
      </c>
      <c r="Q31" s="18">
        <v>140</v>
      </c>
      <c r="R31" s="18">
        <v>483</v>
      </c>
      <c r="S31" s="18">
        <v>128</v>
      </c>
      <c r="T31" s="18">
        <v>861</v>
      </c>
      <c r="U31" s="18">
        <v>220</v>
      </c>
      <c r="V31" s="18">
        <v>526</v>
      </c>
      <c r="W31" s="18">
        <v>812</v>
      </c>
      <c r="X31" s="18">
        <v>733</v>
      </c>
      <c r="Y31" s="18">
        <v>747</v>
      </c>
      <c r="Z31" s="18">
        <v>671</v>
      </c>
      <c r="AA31" s="18">
        <v>698</v>
      </c>
      <c r="AB31" s="20">
        <v>272</v>
      </c>
      <c r="AC31" s="18">
        <v>553</v>
      </c>
      <c r="AD31" s="18">
        <v>455</v>
      </c>
      <c r="AE31" s="18">
        <v>254</v>
      </c>
      <c r="AF31" s="18">
        <v>285</v>
      </c>
      <c r="AG31" s="18">
        <v>391</v>
      </c>
      <c r="AH31" s="18">
        <v>535</v>
      </c>
      <c r="AI31" s="18">
        <v>526</v>
      </c>
      <c r="AJ31" s="18">
        <v>411</v>
      </c>
      <c r="AK31" s="18">
        <f t="shared" si="2"/>
        <v>21670</v>
      </c>
    </row>
    <row r="32" spans="1:37" x14ac:dyDescent="0.25">
      <c r="A32" s="16" t="s">
        <v>26</v>
      </c>
      <c r="B32" s="17">
        <v>44450</v>
      </c>
      <c r="C32" s="20">
        <v>1943</v>
      </c>
      <c r="D32" s="20"/>
      <c r="E32" s="20">
        <v>267</v>
      </c>
      <c r="F32" s="20">
        <v>2920</v>
      </c>
      <c r="G32" s="20"/>
      <c r="H32" s="20">
        <v>1345</v>
      </c>
      <c r="I32" s="20">
        <v>2433</v>
      </c>
      <c r="J32" s="20">
        <v>1848</v>
      </c>
      <c r="K32" s="20">
        <v>389</v>
      </c>
      <c r="L32" s="20">
        <v>2237</v>
      </c>
      <c r="M32" s="20">
        <v>1027</v>
      </c>
      <c r="N32" s="20"/>
      <c r="O32" s="20">
        <v>627</v>
      </c>
      <c r="P32" s="20">
        <v>432</v>
      </c>
      <c r="Q32" s="20">
        <v>209</v>
      </c>
      <c r="R32" s="20">
        <v>759</v>
      </c>
      <c r="S32" s="20">
        <v>364</v>
      </c>
      <c r="T32" s="20">
        <v>1061</v>
      </c>
      <c r="U32" s="20">
        <v>319</v>
      </c>
      <c r="V32" s="20">
        <v>806</v>
      </c>
      <c r="W32" s="20">
        <v>1139</v>
      </c>
      <c r="X32" s="20">
        <v>859</v>
      </c>
      <c r="Y32" s="20">
        <v>1150</v>
      </c>
      <c r="Z32" s="20">
        <v>975</v>
      </c>
      <c r="AA32" s="20">
        <v>999</v>
      </c>
      <c r="AB32" s="20">
        <v>560</v>
      </c>
      <c r="AC32" s="20">
        <v>1099</v>
      </c>
      <c r="AD32" s="20">
        <v>715</v>
      </c>
      <c r="AE32" s="20">
        <v>451</v>
      </c>
      <c r="AF32" s="18">
        <v>312</v>
      </c>
      <c r="AG32" s="18">
        <v>518</v>
      </c>
      <c r="AH32" s="18">
        <v>680</v>
      </c>
      <c r="AI32" s="18">
        <v>591</v>
      </c>
      <c r="AJ32" s="18">
        <v>521</v>
      </c>
      <c r="AK32" s="18">
        <f t="shared" si="2"/>
        <v>29555</v>
      </c>
    </row>
    <row r="33" spans="1:37" x14ac:dyDescent="0.25">
      <c r="A33" s="16" t="s">
        <v>20</v>
      </c>
      <c r="B33" s="17">
        <v>44451</v>
      </c>
      <c r="C33" s="20">
        <v>1456</v>
      </c>
      <c r="D33" s="20"/>
      <c r="E33" s="20">
        <v>601</v>
      </c>
      <c r="F33" s="20">
        <v>1715</v>
      </c>
      <c r="G33" s="20"/>
      <c r="H33" s="20">
        <v>1233</v>
      </c>
      <c r="I33" s="20">
        <v>1638</v>
      </c>
      <c r="J33" s="20">
        <v>2477</v>
      </c>
      <c r="K33" s="20">
        <v>457</v>
      </c>
      <c r="L33" s="20">
        <v>2938</v>
      </c>
      <c r="M33" s="20">
        <v>826</v>
      </c>
      <c r="N33" s="20"/>
      <c r="O33" s="20">
        <v>518</v>
      </c>
      <c r="P33" s="20">
        <v>296</v>
      </c>
      <c r="Q33" s="20">
        <v>217</v>
      </c>
      <c r="R33" s="20">
        <v>662</v>
      </c>
      <c r="S33" s="20">
        <v>334</v>
      </c>
      <c r="T33" s="20">
        <v>914</v>
      </c>
      <c r="U33" s="20">
        <v>234</v>
      </c>
      <c r="V33" s="20">
        <v>679</v>
      </c>
      <c r="W33" s="20">
        <v>958</v>
      </c>
      <c r="X33" s="20">
        <v>763</v>
      </c>
      <c r="Y33" s="20">
        <v>926</v>
      </c>
      <c r="Z33" s="20">
        <v>784</v>
      </c>
      <c r="AA33" s="20">
        <v>1157</v>
      </c>
      <c r="AB33" s="20">
        <v>300</v>
      </c>
      <c r="AC33" s="20">
        <v>779</v>
      </c>
      <c r="AD33" s="20">
        <v>659</v>
      </c>
      <c r="AE33" s="20">
        <v>320</v>
      </c>
      <c r="AF33" s="19">
        <v>238</v>
      </c>
      <c r="AG33" s="19">
        <v>355</v>
      </c>
      <c r="AH33" s="19">
        <v>498</v>
      </c>
      <c r="AI33" s="19">
        <v>487</v>
      </c>
      <c r="AJ33" s="19">
        <v>436</v>
      </c>
      <c r="AK33" s="18">
        <f t="shared" si="2"/>
        <v>25855</v>
      </c>
    </row>
    <row r="34" spans="1:37" x14ac:dyDescent="0.25">
      <c r="A34" s="16" t="s">
        <v>26</v>
      </c>
      <c r="B34" s="17">
        <v>44457</v>
      </c>
      <c r="C34" s="20">
        <v>2060</v>
      </c>
      <c r="D34" s="20"/>
      <c r="E34" s="19">
        <v>656</v>
      </c>
      <c r="F34" s="19">
        <v>2670</v>
      </c>
      <c r="G34" s="19"/>
      <c r="H34" s="19">
        <v>1315</v>
      </c>
      <c r="I34" s="19">
        <v>2520</v>
      </c>
      <c r="J34" s="19">
        <v>1590</v>
      </c>
      <c r="K34" s="19">
        <v>306</v>
      </c>
      <c r="L34" s="19">
        <v>1551</v>
      </c>
      <c r="M34" s="19">
        <v>1127</v>
      </c>
      <c r="N34" s="19"/>
      <c r="O34" s="19">
        <v>610</v>
      </c>
      <c r="P34" s="19">
        <v>452</v>
      </c>
      <c r="Q34" s="19">
        <v>217</v>
      </c>
      <c r="R34" s="19">
        <v>745</v>
      </c>
      <c r="S34" s="19">
        <v>343</v>
      </c>
      <c r="T34" s="19">
        <v>1130</v>
      </c>
      <c r="U34" s="18">
        <v>291</v>
      </c>
      <c r="V34" s="18">
        <v>894</v>
      </c>
      <c r="W34" s="18">
        <v>1379</v>
      </c>
      <c r="X34" s="18">
        <v>875</v>
      </c>
      <c r="Y34" s="18">
        <v>1243</v>
      </c>
      <c r="Z34" s="18">
        <v>1016</v>
      </c>
      <c r="AA34" s="18">
        <v>921</v>
      </c>
      <c r="AB34" s="19">
        <v>498</v>
      </c>
      <c r="AC34" s="18">
        <v>930</v>
      </c>
      <c r="AD34" s="18">
        <v>848</v>
      </c>
      <c r="AE34" s="18">
        <v>392</v>
      </c>
      <c r="AF34" s="18">
        <v>416</v>
      </c>
      <c r="AG34" s="18">
        <v>456</v>
      </c>
      <c r="AH34" s="18">
        <v>724</v>
      </c>
      <c r="AI34" s="18">
        <v>700</v>
      </c>
      <c r="AJ34" s="18">
        <v>580</v>
      </c>
      <c r="AK34" s="18">
        <f t="shared" si="2"/>
        <v>29455</v>
      </c>
    </row>
    <row r="35" spans="1:37" x14ac:dyDescent="0.25">
      <c r="A35" s="16" t="s">
        <v>20</v>
      </c>
      <c r="B35" s="17">
        <v>44458</v>
      </c>
      <c r="C35" s="20">
        <v>1643</v>
      </c>
      <c r="D35" s="20"/>
      <c r="E35" s="19">
        <v>640</v>
      </c>
      <c r="F35" s="19">
        <v>1817</v>
      </c>
      <c r="G35" s="19"/>
      <c r="H35" s="19">
        <v>1193</v>
      </c>
      <c r="I35" s="19">
        <v>1674</v>
      </c>
      <c r="J35" s="19">
        <v>1664</v>
      </c>
      <c r="K35" s="19">
        <v>300</v>
      </c>
      <c r="L35" s="19">
        <v>1881</v>
      </c>
      <c r="M35" s="19">
        <v>814</v>
      </c>
      <c r="N35" s="19"/>
      <c r="O35" s="19">
        <v>555</v>
      </c>
      <c r="P35" s="19">
        <v>318</v>
      </c>
      <c r="Q35" s="19">
        <v>199</v>
      </c>
      <c r="R35" s="19">
        <v>618</v>
      </c>
      <c r="S35" s="19">
        <v>337</v>
      </c>
      <c r="T35" s="19">
        <v>1027</v>
      </c>
      <c r="U35" s="19">
        <v>300</v>
      </c>
      <c r="V35" s="19">
        <v>715</v>
      </c>
      <c r="W35" s="19">
        <v>1122</v>
      </c>
      <c r="X35" s="19">
        <v>825</v>
      </c>
      <c r="Y35" s="19">
        <v>1195</v>
      </c>
      <c r="Z35" s="19">
        <v>1128</v>
      </c>
      <c r="AA35" s="19">
        <v>933</v>
      </c>
      <c r="AB35" s="19">
        <v>413</v>
      </c>
      <c r="AC35" s="19">
        <v>711</v>
      </c>
      <c r="AD35" s="19">
        <v>749</v>
      </c>
      <c r="AE35" s="19">
        <v>410</v>
      </c>
      <c r="AF35" s="19">
        <v>336</v>
      </c>
      <c r="AG35" s="19">
        <v>408</v>
      </c>
      <c r="AH35" s="19">
        <v>641</v>
      </c>
      <c r="AI35" s="19">
        <v>549</v>
      </c>
      <c r="AJ35" s="19">
        <v>511</v>
      </c>
      <c r="AK35" s="18">
        <f t="shared" si="2"/>
        <v>25626</v>
      </c>
    </row>
    <row r="36" spans="1:37" x14ac:dyDescent="0.25">
      <c r="A36" s="16" t="s">
        <v>26</v>
      </c>
      <c r="B36" s="17">
        <v>44464</v>
      </c>
      <c r="C36" s="20">
        <v>1847</v>
      </c>
      <c r="D36" s="19">
        <v>0</v>
      </c>
      <c r="E36" s="19">
        <v>775</v>
      </c>
      <c r="F36" s="20">
        <v>2809</v>
      </c>
      <c r="G36" s="20"/>
      <c r="H36" s="19">
        <v>1532</v>
      </c>
      <c r="I36" s="19">
        <v>2357</v>
      </c>
      <c r="J36" s="19">
        <v>1298</v>
      </c>
      <c r="K36" s="19">
        <v>313</v>
      </c>
      <c r="L36" s="19">
        <v>1489</v>
      </c>
      <c r="M36" s="19">
        <v>1049</v>
      </c>
      <c r="N36" s="19"/>
      <c r="O36" s="19">
        <v>652</v>
      </c>
      <c r="P36" s="19">
        <v>471</v>
      </c>
      <c r="Q36" s="19">
        <v>269</v>
      </c>
      <c r="R36" s="19">
        <v>702</v>
      </c>
      <c r="S36" s="19">
        <v>304</v>
      </c>
      <c r="T36" s="19">
        <v>1129</v>
      </c>
      <c r="U36" s="19">
        <v>348</v>
      </c>
      <c r="V36" s="19">
        <v>858</v>
      </c>
      <c r="W36" s="19">
        <v>1217</v>
      </c>
      <c r="X36" s="19">
        <v>1044</v>
      </c>
      <c r="Y36" s="19">
        <v>1151</v>
      </c>
      <c r="Z36" s="19">
        <v>1267</v>
      </c>
      <c r="AA36" s="19">
        <v>1083</v>
      </c>
      <c r="AB36" s="19">
        <v>448</v>
      </c>
      <c r="AC36" s="19">
        <v>964</v>
      </c>
      <c r="AD36" s="19">
        <v>900</v>
      </c>
      <c r="AE36" s="19">
        <v>386</v>
      </c>
      <c r="AF36" s="19">
        <v>385</v>
      </c>
      <c r="AG36" s="19">
        <v>496</v>
      </c>
      <c r="AH36" s="19">
        <v>707</v>
      </c>
      <c r="AI36" s="19">
        <v>639</v>
      </c>
      <c r="AJ36" s="19">
        <v>529</v>
      </c>
      <c r="AK36" s="18">
        <f t="shared" si="2"/>
        <v>29418</v>
      </c>
    </row>
    <row r="37" spans="1:37" x14ac:dyDescent="0.25">
      <c r="A37" s="16" t="s">
        <v>20</v>
      </c>
      <c r="B37" s="17">
        <v>44465</v>
      </c>
      <c r="C37" s="20">
        <v>2377</v>
      </c>
      <c r="D37" s="19"/>
      <c r="E37" s="19">
        <v>2511</v>
      </c>
      <c r="F37" s="20">
        <v>2029</v>
      </c>
      <c r="G37" s="20"/>
      <c r="H37" s="19">
        <v>2224</v>
      </c>
      <c r="I37" s="19">
        <v>1777</v>
      </c>
      <c r="J37" s="19">
        <v>1920</v>
      </c>
      <c r="K37" s="19">
        <v>522</v>
      </c>
      <c r="L37" s="19">
        <v>1822</v>
      </c>
      <c r="M37" s="19">
        <v>1617</v>
      </c>
      <c r="N37" s="19"/>
      <c r="O37" s="19">
        <v>712</v>
      </c>
      <c r="P37" s="19">
        <v>312</v>
      </c>
      <c r="Q37" s="19">
        <v>967</v>
      </c>
      <c r="R37" s="19">
        <v>871</v>
      </c>
      <c r="S37" s="19">
        <v>324</v>
      </c>
      <c r="T37" s="19">
        <v>1126</v>
      </c>
      <c r="U37" s="19">
        <v>724</v>
      </c>
      <c r="V37" s="19">
        <v>782</v>
      </c>
      <c r="W37" s="19">
        <v>1298</v>
      </c>
      <c r="X37" s="19">
        <v>1035</v>
      </c>
      <c r="Y37" s="19">
        <v>859</v>
      </c>
      <c r="Z37" s="19">
        <v>840</v>
      </c>
      <c r="AA37" s="19">
        <v>841</v>
      </c>
      <c r="AB37" s="19">
        <v>355</v>
      </c>
      <c r="AC37" s="19">
        <v>765</v>
      </c>
      <c r="AD37" s="19">
        <v>647</v>
      </c>
      <c r="AE37" s="19">
        <v>420</v>
      </c>
      <c r="AF37" s="19">
        <v>392</v>
      </c>
      <c r="AG37" s="19">
        <v>432</v>
      </c>
      <c r="AH37" s="19">
        <v>640</v>
      </c>
      <c r="AI37" s="19">
        <v>955</v>
      </c>
      <c r="AJ37" s="19">
        <v>869</v>
      </c>
      <c r="AK37" s="18">
        <f t="shared" si="2"/>
        <v>32965</v>
      </c>
    </row>
    <row r="38" spans="1:37" x14ac:dyDescent="0.25">
      <c r="A38" s="92" t="s">
        <v>27</v>
      </c>
      <c r="B38" s="92"/>
      <c r="C38" s="21">
        <f t="shared" ref="C38:AK38" si="3">SUM(C30:C37)</f>
        <v>14841</v>
      </c>
      <c r="D38" s="21">
        <f t="shared" si="3"/>
        <v>4583</v>
      </c>
      <c r="E38" s="21">
        <f t="shared" si="3"/>
        <v>6704</v>
      </c>
      <c r="F38" s="21">
        <f t="shared" si="3"/>
        <v>17951</v>
      </c>
      <c r="G38" s="21">
        <f t="shared" si="3"/>
        <v>0</v>
      </c>
      <c r="H38" s="21">
        <f t="shared" si="3"/>
        <v>11259</v>
      </c>
      <c r="I38" s="21">
        <f t="shared" si="3"/>
        <v>15913</v>
      </c>
      <c r="J38" s="21">
        <f t="shared" si="3"/>
        <v>14630</v>
      </c>
      <c r="K38" s="21">
        <f t="shared" si="3"/>
        <v>2985</v>
      </c>
      <c r="L38" s="21">
        <f t="shared" si="3"/>
        <v>16562</v>
      </c>
      <c r="M38" s="21">
        <f t="shared" si="3"/>
        <v>8466</v>
      </c>
      <c r="N38" s="21">
        <f t="shared" si="3"/>
        <v>1763</v>
      </c>
      <c r="O38" s="21">
        <f t="shared" si="3"/>
        <v>4724</v>
      </c>
      <c r="P38" s="21">
        <f t="shared" si="3"/>
        <v>3077</v>
      </c>
      <c r="Q38" s="21">
        <f t="shared" si="3"/>
        <v>2431</v>
      </c>
      <c r="R38" s="21">
        <f t="shared" si="3"/>
        <v>5705</v>
      </c>
      <c r="S38" s="21">
        <f t="shared" si="3"/>
        <v>2512</v>
      </c>
      <c r="T38" s="21">
        <f t="shared" si="3"/>
        <v>8630</v>
      </c>
      <c r="U38" s="21">
        <f t="shared" si="3"/>
        <v>2813</v>
      </c>
      <c r="V38" s="21">
        <f t="shared" si="3"/>
        <v>6055</v>
      </c>
      <c r="W38" s="21">
        <f t="shared" si="3"/>
        <v>9271</v>
      </c>
      <c r="X38" s="21">
        <f t="shared" si="3"/>
        <v>7106</v>
      </c>
      <c r="Y38" s="21">
        <f t="shared" si="3"/>
        <v>8543</v>
      </c>
      <c r="Z38" s="21">
        <f t="shared" si="3"/>
        <v>7743</v>
      </c>
      <c r="AA38" s="21">
        <f t="shared" si="3"/>
        <v>7935</v>
      </c>
      <c r="AB38" s="21">
        <f t="shared" si="3"/>
        <v>3397</v>
      </c>
      <c r="AC38" s="21">
        <f t="shared" si="3"/>
        <v>6888</v>
      </c>
      <c r="AD38" s="21">
        <f t="shared" si="3"/>
        <v>5956</v>
      </c>
      <c r="AE38" s="21">
        <f t="shared" si="3"/>
        <v>3054</v>
      </c>
      <c r="AF38" s="21">
        <f t="shared" si="3"/>
        <v>2704</v>
      </c>
      <c r="AG38" s="21">
        <f t="shared" si="3"/>
        <v>3515</v>
      </c>
      <c r="AH38" s="21">
        <f t="shared" si="3"/>
        <v>5165</v>
      </c>
      <c r="AI38" s="21">
        <f t="shared" si="3"/>
        <v>5206</v>
      </c>
      <c r="AJ38" s="21">
        <f t="shared" si="3"/>
        <v>4379</v>
      </c>
      <c r="AK38" s="21">
        <f t="shared" si="3"/>
        <v>232466</v>
      </c>
    </row>
    <row r="40" spans="1:37" x14ac:dyDescent="0.25">
      <c r="H40" s="40"/>
      <c r="I40" s="40"/>
      <c r="J40" s="40"/>
      <c r="K40" s="40"/>
      <c r="L40" s="40"/>
      <c r="M40" s="40"/>
      <c r="N40" s="40"/>
      <c r="O40" s="40"/>
    </row>
    <row r="41" spans="1:37" ht="30" x14ac:dyDescent="0.25">
      <c r="C41" s="102" t="s">
        <v>83</v>
      </c>
      <c r="D41" s="102"/>
      <c r="E41" s="102"/>
      <c r="F41" s="102"/>
      <c r="H41" s="103" t="s">
        <v>63</v>
      </c>
      <c r="I41" s="58" t="s">
        <v>8</v>
      </c>
      <c r="J41" s="58" t="s">
        <v>64</v>
      </c>
      <c r="K41" s="59" t="s">
        <v>31</v>
      </c>
      <c r="L41" s="60" t="s">
        <v>13</v>
      </c>
      <c r="M41" s="46" t="s">
        <v>7</v>
      </c>
    </row>
    <row r="42" spans="1:37" x14ac:dyDescent="0.25">
      <c r="C42" s="105" t="s">
        <v>7</v>
      </c>
      <c r="D42" s="105"/>
      <c r="E42" s="105"/>
      <c r="F42" s="22">
        <f>SUM(AK25,AK38)</f>
        <v>541631</v>
      </c>
      <c r="H42" s="104"/>
      <c r="I42" s="42">
        <f>SUM(C25,C38,J25,J38,M25,M38,T25,T38,AA25,AI25,AI38,AA38)</f>
        <v>126208</v>
      </c>
      <c r="J42" s="42">
        <v>0</v>
      </c>
      <c r="K42" s="44">
        <f>SUM(AG25,AG38)</f>
        <v>9089</v>
      </c>
      <c r="L42" s="44">
        <f>SUM(I25,I38,V25,V38,AB25,AB38)</f>
        <v>75913</v>
      </c>
      <c r="M42" s="47">
        <f>SUM(I42:L42)</f>
        <v>211210</v>
      </c>
    </row>
    <row r="43" spans="1:37" x14ac:dyDescent="0.25">
      <c r="C43" s="105" t="s">
        <v>84</v>
      </c>
      <c r="D43" s="105"/>
      <c r="E43" s="105"/>
      <c r="F43" s="22">
        <f>AK25</f>
        <v>309165</v>
      </c>
    </row>
    <row r="44" spans="1:37" x14ac:dyDescent="0.25">
      <c r="C44" s="105" t="s">
        <v>67</v>
      </c>
      <c r="D44" s="105"/>
      <c r="E44" s="105"/>
      <c r="F44" s="22">
        <f>AVERAGE(AK3:AK24)</f>
        <v>14052.954545454546</v>
      </c>
    </row>
  </sheetData>
  <mergeCells count="25">
    <mergeCell ref="C41:F41"/>
    <mergeCell ref="H41:H42"/>
    <mergeCell ref="C42:E42"/>
    <mergeCell ref="C43:E43"/>
    <mergeCell ref="C44:E44"/>
    <mergeCell ref="A38:B38"/>
    <mergeCell ref="A1:B1"/>
    <mergeCell ref="C1:I1"/>
    <mergeCell ref="J1:L1"/>
    <mergeCell ref="M1:R1"/>
    <mergeCell ref="A28:B28"/>
    <mergeCell ref="C28:I28"/>
    <mergeCell ref="J28:L28"/>
    <mergeCell ref="AK1:AK2"/>
    <mergeCell ref="A25:B25"/>
    <mergeCell ref="AI28:AJ28"/>
    <mergeCell ref="AK28:AK29"/>
    <mergeCell ref="M28:R28"/>
    <mergeCell ref="T28:Y28"/>
    <mergeCell ref="AA28:AD28"/>
    <mergeCell ref="AF28:AH28"/>
    <mergeCell ref="T1:Y1"/>
    <mergeCell ref="AA1:AD1"/>
    <mergeCell ref="AF1:AH1"/>
    <mergeCell ref="AI1:AJ1"/>
  </mergeCells>
  <pageMargins left="0.7" right="0.7" top="0.75" bottom="0.75" header="0.3" footer="0.3"/>
  <pageSetup orientation="portrait" r:id="rId1"/>
  <ignoredErrors>
    <ignoredError sqref="AK3:AK24 AK30:AK3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workbookViewId="0">
      <selection activeCell="I38" sqref="I38"/>
    </sheetView>
  </sheetViews>
  <sheetFormatPr defaultColWidth="13.28515625" defaultRowHeight="15" x14ac:dyDescent="0.25"/>
  <cols>
    <col min="1" max="16384" width="13.28515625" style="2"/>
  </cols>
  <sheetData>
    <row r="1" spans="1:26" ht="12.75" customHeight="1" x14ac:dyDescent="0.25">
      <c r="A1" s="110" t="s">
        <v>68</v>
      </c>
      <c r="B1" s="111"/>
      <c r="C1" s="108" t="s">
        <v>8</v>
      </c>
      <c r="D1" s="108"/>
      <c r="E1" s="108"/>
      <c r="F1" s="108"/>
      <c r="G1" s="108"/>
      <c r="H1" s="108"/>
      <c r="I1" s="31" t="s">
        <v>87</v>
      </c>
      <c r="J1" s="31" t="s">
        <v>28</v>
      </c>
      <c r="K1" s="108" t="s">
        <v>29</v>
      </c>
      <c r="L1" s="108"/>
      <c r="M1" s="108"/>
      <c r="N1" s="108"/>
      <c r="O1" s="108" t="s">
        <v>30</v>
      </c>
      <c r="P1" s="108"/>
      <c r="Q1" s="108"/>
      <c r="R1" s="108" t="s">
        <v>31</v>
      </c>
      <c r="S1" s="108"/>
      <c r="T1" s="108"/>
      <c r="U1" s="108"/>
      <c r="V1" s="108"/>
      <c r="W1" s="108"/>
      <c r="X1" s="108"/>
      <c r="Y1" s="108"/>
      <c r="Z1" s="109" t="s">
        <v>7</v>
      </c>
    </row>
    <row r="2" spans="1:26" ht="48.75" customHeight="1" x14ac:dyDescent="0.25">
      <c r="A2" s="32" t="s">
        <v>0</v>
      </c>
      <c r="B2" s="33" t="s">
        <v>1</v>
      </c>
      <c r="C2" s="32" t="s">
        <v>32</v>
      </c>
      <c r="D2" s="32" t="s">
        <v>33</v>
      </c>
      <c r="E2" s="32" t="s">
        <v>34</v>
      </c>
      <c r="F2" s="32" t="s">
        <v>35</v>
      </c>
      <c r="G2" s="32" t="s">
        <v>36</v>
      </c>
      <c r="H2" s="32" t="s">
        <v>37</v>
      </c>
      <c r="I2" s="32" t="s">
        <v>38</v>
      </c>
      <c r="J2" s="32" t="s">
        <v>19</v>
      </c>
      <c r="K2" s="32" t="s">
        <v>39</v>
      </c>
      <c r="L2" s="32" t="s">
        <v>40</v>
      </c>
      <c r="M2" s="32" t="s">
        <v>8</v>
      </c>
      <c r="N2" s="32" t="s">
        <v>41</v>
      </c>
      <c r="O2" s="32" t="s">
        <v>32</v>
      </c>
      <c r="P2" s="32" t="s">
        <v>34</v>
      </c>
      <c r="Q2" s="32" t="s">
        <v>42</v>
      </c>
      <c r="R2" s="32" t="s">
        <v>43</v>
      </c>
      <c r="S2" s="32" t="s">
        <v>44</v>
      </c>
      <c r="T2" s="32" t="s">
        <v>45</v>
      </c>
      <c r="U2" s="32" t="s">
        <v>46</v>
      </c>
      <c r="V2" s="34" t="s">
        <v>47</v>
      </c>
      <c r="W2" s="32" t="s">
        <v>32</v>
      </c>
      <c r="X2" s="32" t="s">
        <v>34</v>
      </c>
      <c r="Y2" s="32" t="s">
        <v>48</v>
      </c>
      <c r="Z2" s="109"/>
    </row>
    <row r="3" spans="1:26" x14ac:dyDescent="0.25">
      <c r="A3" s="16" t="s">
        <v>23</v>
      </c>
      <c r="B3" s="17">
        <v>44440</v>
      </c>
      <c r="C3" s="74">
        <v>149</v>
      </c>
      <c r="D3" s="74">
        <v>81</v>
      </c>
      <c r="E3" s="74">
        <v>156</v>
      </c>
      <c r="F3" s="74">
        <v>137</v>
      </c>
      <c r="G3" s="74">
        <v>439</v>
      </c>
      <c r="H3" s="74">
        <v>38</v>
      </c>
      <c r="I3" s="74">
        <v>863</v>
      </c>
      <c r="J3" s="76"/>
      <c r="K3" s="18"/>
      <c r="L3" s="18"/>
      <c r="M3" s="18"/>
      <c r="N3" s="18"/>
      <c r="O3" s="74">
        <v>1032</v>
      </c>
      <c r="P3" s="74">
        <v>475</v>
      </c>
      <c r="Q3" s="74">
        <v>240</v>
      </c>
      <c r="R3" s="74">
        <v>1549</v>
      </c>
      <c r="S3" s="23"/>
      <c r="T3" s="74">
        <v>85</v>
      </c>
      <c r="U3" s="74">
        <v>575</v>
      </c>
      <c r="V3" s="74">
        <v>238</v>
      </c>
      <c r="W3" s="74">
        <v>59</v>
      </c>
      <c r="X3" s="74">
        <v>28</v>
      </c>
      <c r="Y3" s="18"/>
      <c r="Z3" s="18">
        <f t="shared" ref="Z3:Z24" si="0">SUM(C3:Y3)</f>
        <v>6144</v>
      </c>
    </row>
    <row r="4" spans="1:26" x14ac:dyDescent="0.25">
      <c r="A4" s="16" t="s">
        <v>24</v>
      </c>
      <c r="B4" s="17">
        <v>44441</v>
      </c>
      <c r="C4" s="74">
        <v>110</v>
      </c>
      <c r="D4" s="74">
        <v>76</v>
      </c>
      <c r="E4" s="74">
        <v>37</v>
      </c>
      <c r="F4" s="74">
        <v>131</v>
      </c>
      <c r="G4" s="74">
        <v>345</v>
      </c>
      <c r="H4" s="74">
        <v>113</v>
      </c>
      <c r="I4" s="74">
        <v>1669</v>
      </c>
      <c r="J4" s="76"/>
      <c r="K4" s="18"/>
      <c r="L4" s="18"/>
      <c r="M4" s="18"/>
      <c r="N4" s="18"/>
      <c r="O4" s="74">
        <v>1562</v>
      </c>
      <c r="P4" s="74">
        <v>384</v>
      </c>
      <c r="Q4" s="74">
        <v>245</v>
      </c>
      <c r="R4" s="74">
        <v>1836</v>
      </c>
      <c r="S4" s="24"/>
      <c r="T4" s="74">
        <v>63</v>
      </c>
      <c r="U4" s="74">
        <v>849</v>
      </c>
      <c r="V4" s="74">
        <v>345</v>
      </c>
      <c r="W4" s="74">
        <v>127</v>
      </c>
      <c r="X4" s="74">
        <v>37</v>
      </c>
      <c r="Y4" s="18"/>
      <c r="Z4" s="18">
        <f t="shared" si="0"/>
        <v>7929</v>
      </c>
    </row>
    <row r="5" spans="1:26" x14ac:dyDescent="0.25">
      <c r="A5" s="16" t="s">
        <v>25</v>
      </c>
      <c r="B5" s="17">
        <v>44442</v>
      </c>
      <c r="C5" s="74">
        <v>113</v>
      </c>
      <c r="D5" s="74">
        <v>61</v>
      </c>
      <c r="E5" s="74">
        <v>73</v>
      </c>
      <c r="F5" s="74">
        <v>73</v>
      </c>
      <c r="G5" s="74">
        <v>310</v>
      </c>
      <c r="H5" s="74">
        <v>94</v>
      </c>
      <c r="I5" s="74">
        <v>5005</v>
      </c>
      <c r="J5" s="76"/>
      <c r="K5" s="18"/>
      <c r="L5" s="18"/>
      <c r="M5" s="18"/>
      <c r="N5" s="18"/>
      <c r="O5" s="74">
        <v>1778</v>
      </c>
      <c r="P5" s="74">
        <v>650</v>
      </c>
      <c r="Q5" s="74">
        <v>125</v>
      </c>
      <c r="R5" s="74">
        <v>2173</v>
      </c>
      <c r="S5" s="24"/>
      <c r="T5" s="74">
        <v>68</v>
      </c>
      <c r="U5" s="74">
        <v>883</v>
      </c>
      <c r="V5" s="74">
        <v>496</v>
      </c>
      <c r="W5" s="74">
        <v>77</v>
      </c>
      <c r="X5" s="74">
        <v>32</v>
      </c>
      <c r="Y5" s="18"/>
      <c r="Z5" s="18">
        <f t="shared" si="0"/>
        <v>12011</v>
      </c>
    </row>
    <row r="6" spans="1:26" x14ac:dyDescent="0.25">
      <c r="A6" s="16" t="s">
        <v>21</v>
      </c>
      <c r="B6" s="17">
        <v>44445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8595</v>
      </c>
      <c r="J6" s="73">
        <v>2547</v>
      </c>
      <c r="K6" s="18"/>
      <c r="L6" s="18"/>
      <c r="M6" s="18"/>
      <c r="N6" s="18"/>
      <c r="O6" s="74">
        <v>1388</v>
      </c>
      <c r="P6" s="74">
        <v>781</v>
      </c>
      <c r="Q6" s="74">
        <v>0</v>
      </c>
      <c r="R6" s="74">
        <v>2046</v>
      </c>
      <c r="S6" s="24"/>
      <c r="T6" s="74">
        <v>0</v>
      </c>
      <c r="U6" s="74">
        <v>788</v>
      </c>
      <c r="V6" s="74">
        <v>0</v>
      </c>
      <c r="W6" s="74">
        <v>0</v>
      </c>
      <c r="X6" s="74">
        <v>0</v>
      </c>
      <c r="Y6" s="18"/>
      <c r="Z6" s="18">
        <f t="shared" si="0"/>
        <v>16145</v>
      </c>
    </row>
    <row r="7" spans="1:26" ht="13.5" customHeight="1" x14ac:dyDescent="0.25">
      <c r="A7" s="16" t="s">
        <v>22</v>
      </c>
      <c r="B7" s="17">
        <v>44446</v>
      </c>
      <c r="C7" s="74">
        <v>232</v>
      </c>
      <c r="D7" s="74">
        <v>109</v>
      </c>
      <c r="E7" s="74">
        <v>204</v>
      </c>
      <c r="F7" s="74">
        <v>161</v>
      </c>
      <c r="G7" s="74">
        <v>604</v>
      </c>
      <c r="H7" s="74">
        <v>57</v>
      </c>
      <c r="I7" s="74">
        <v>3659</v>
      </c>
      <c r="J7" s="76"/>
      <c r="K7" s="18"/>
      <c r="L7" s="18"/>
      <c r="M7" s="18"/>
      <c r="N7" s="18"/>
      <c r="O7" s="74">
        <v>1805</v>
      </c>
      <c r="P7" s="74">
        <v>785</v>
      </c>
      <c r="Q7" s="74">
        <v>320</v>
      </c>
      <c r="R7" s="74">
        <v>2202</v>
      </c>
      <c r="S7" s="24"/>
      <c r="T7" s="74">
        <v>132</v>
      </c>
      <c r="U7" s="74">
        <v>1070</v>
      </c>
      <c r="V7" s="74">
        <v>322</v>
      </c>
      <c r="W7" s="74">
        <v>147</v>
      </c>
      <c r="X7" s="74">
        <v>41</v>
      </c>
      <c r="Y7" s="18"/>
      <c r="Z7" s="18">
        <f t="shared" si="0"/>
        <v>11850</v>
      </c>
    </row>
    <row r="8" spans="1:26" x14ac:dyDescent="0.25">
      <c r="A8" s="16" t="s">
        <v>23</v>
      </c>
      <c r="B8" s="17">
        <v>44447</v>
      </c>
      <c r="C8" s="74">
        <v>201</v>
      </c>
      <c r="D8" s="74">
        <v>161</v>
      </c>
      <c r="E8" s="74">
        <v>207</v>
      </c>
      <c r="F8" s="74">
        <v>193</v>
      </c>
      <c r="G8" s="74">
        <v>609</v>
      </c>
      <c r="H8" s="74">
        <v>57</v>
      </c>
      <c r="I8" s="74">
        <v>3473</v>
      </c>
      <c r="J8" s="76"/>
      <c r="K8" s="18"/>
      <c r="L8" s="18"/>
      <c r="M8" s="18"/>
      <c r="N8" s="18"/>
      <c r="O8" s="74">
        <v>2091</v>
      </c>
      <c r="P8" s="74">
        <v>995</v>
      </c>
      <c r="Q8" s="74">
        <v>389</v>
      </c>
      <c r="R8" s="74">
        <v>2299</v>
      </c>
      <c r="S8" s="24"/>
      <c r="T8" s="74">
        <v>123</v>
      </c>
      <c r="U8" s="74">
        <v>1094</v>
      </c>
      <c r="V8" s="74">
        <v>396</v>
      </c>
      <c r="W8" s="74">
        <v>145</v>
      </c>
      <c r="X8" s="74">
        <v>52</v>
      </c>
      <c r="Y8" s="18"/>
      <c r="Z8" s="18">
        <f t="shared" si="0"/>
        <v>12485</v>
      </c>
    </row>
    <row r="9" spans="1:26" x14ac:dyDescent="0.25">
      <c r="A9" s="16" t="s">
        <v>24</v>
      </c>
      <c r="B9" s="17">
        <v>44448</v>
      </c>
      <c r="C9" s="74">
        <v>185</v>
      </c>
      <c r="D9" s="74">
        <v>145</v>
      </c>
      <c r="E9" s="74">
        <v>199</v>
      </c>
      <c r="F9" s="74">
        <v>138</v>
      </c>
      <c r="G9" s="74">
        <v>575</v>
      </c>
      <c r="H9" s="74">
        <v>63</v>
      </c>
      <c r="I9" s="74">
        <v>1334</v>
      </c>
      <c r="J9" s="76"/>
      <c r="K9" s="18"/>
      <c r="L9" s="18"/>
      <c r="M9" s="18"/>
      <c r="N9" s="18"/>
      <c r="O9" s="74">
        <v>1779</v>
      </c>
      <c r="P9" s="74">
        <v>744</v>
      </c>
      <c r="Q9" s="74">
        <v>290</v>
      </c>
      <c r="R9" s="74">
        <v>2111</v>
      </c>
      <c r="S9" s="24"/>
      <c r="T9" s="74">
        <v>115</v>
      </c>
      <c r="U9" s="74">
        <v>991</v>
      </c>
      <c r="V9" s="74">
        <v>327</v>
      </c>
      <c r="W9" s="74">
        <v>106</v>
      </c>
      <c r="X9" s="74">
        <v>38</v>
      </c>
      <c r="Y9" s="18"/>
      <c r="Z9" s="18">
        <f t="shared" si="0"/>
        <v>9140</v>
      </c>
    </row>
    <row r="10" spans="1:26" x14ac:dyDescent="0.25">
      <c r="A10" s="16" t="s">
        <v>25</v>
      </c>
      <c r="B10" s="17">
        <v>44449</v>
      </c>
      <c r="C10" s="74">
        <v>186</v>
      </c>
      <c r="D10" s="74">
        <v>98</v>
      </c>
      <c r="E10" s="74">
        <v>140</v>
      </c>
      <c r="F10" s="74">
        <v>119</v>
      </c>
      <c r="G10" s="74">
        <v>389</v>
      </c>
      <c r="H10" s="74">
        <v>53</v>
      </c>
      <c r="I10" s="74">
        <v>4270</v>
      </c>
      <c r="J10" s="76"/>
      <c r="K10" s="18"/>
      <c r="L10" s="18"/>
      <c r="M10" s="18"/>
      <c r="N10" s="18"/>
      <c r="O10" s="74">
        <v>1773</v>
      </c>
      <c r="P10" s="74">
        <v>914</v>
      </c>
      <c r="Q10" s="74">
        <v>218</v>
      </c>
      <c r="R10" s="74">
        <v>2492</v>
      </c>
      <c r="S10" s="24"/>
      <c r="T10" s="74">
        <v>137</v>
      </c>
      <c r="U10" s="74">
        <v>1225</v>
      </c>
      <c r="V10" s="74">
        <v>465</v>
      </c>
      <c r="W10" s="74">
        <v>148</v>
      </c>
      <c r="X10" s="74">
        <v>49</v>
      </c>
      <c r="Y10" s="18"/>
      <c r="Z10" s="18">
        <f t="shared" si="0"/>
        <v>12676</v>
      </c>
    </row>
    <row r="11" spans="1:26" x14ac:dyDescent="0.25">
      <c r="A11" s="16" t="s">
        <v>21</v>
      </c>
      <c r="B11" s="17">
        <v>44452</v>
      </c>
      <c r="C11" s="74">
        <v>221</v>
      </c>
      <c r="D11" s="74">
        <v>152</v>
      </c>
      <c r="E11" s="74">
        <v>119</v>
      </c>
      <c r="F11" s="74">
        <v>202</v>
      </c>
      <c r="G11" s="74">
        <v>579</v>
      </c>
      <c r="H11" s="74">
        <v>100</v>
      </c>
      <c r="I11" s="74">
        <v>3524</v>
      </c>
      <c r="J11" s="76"/>
      <c r="K11" s="18"/>
      <c r="L11" s="18"/>
      <c r="M11" s="18"/>
      <c r="N11" s="18"/>
      <c r="O11" s="74">
        <v>1881</v>
      </c>
      <c r="P11" s="74">
        <v>924</v>
      </c>
      <c r="Q11" s="74">
        <v>461</v>
      </c>
      <c r="R11" s="74">
        <v>2332</v>
      </c>
      <c r="S11" s="24"/>
      <c r="T11" s="74">
        <v>116</v>
      </c>
      <c r="U11" s="74">
        <v>1128</v>
      </c>
      <c r="V11" s="74">
        <v>443</v>
      </c>
      <c r="W11" s="74">
        <v>138</v>
      </c>
      <c r="X11" s="74">
        <v>68</v>
      </c>
      <c r="Y11" s="18"/>
      <c r="Z11" s="18">
        <f t="shared" si="0"/>
        <v>12388</v>
      </c>
    </row>
    <row r="12" spans="1:26" x14ac:dyDescent="0.25">
      <c r="A12" s="16" t="s">
        <v>22</v>
      </c>
      <c r="B12" s="17">
        <v>44453</v>
      </c>
      <c r="C12" s="74">
        <v>287</v>
      </c>
      <c r="D12" s="74">
        <v>197</v>
      </c>
      <c r="E12" s="74">
        <v>135</v>
      </c>
      <c r="F12" s="74">
        <v>207</v>
      </c>
      <c r="G12" s="74">
        <v>602</v>
      </c>
      <c r="H12" s="74">
        <v>130</v>
      </c>
      <c r="I12" s="74">
        <v>3513</v>
      </c>
      <c r="J12" s="76"/>
      <c r="K12" s="18"/>
      <c r="L12" s="18"/>
      <c r="M12" s="18"/>
      <c r="N12" s="18"/>
      <c r="O12" s="74">
        <v>2206</v>
      </c>
      <c r="P12" s="74">
        <v>1065</v>
      </c>
      <c r="Q12" s="74">
        <v>464</v>
      </c>
      <c r="R12" s="74">
        <v>2903</v>
      </c>
      <c r="S12" s="24"/>
      <c r="T12" s="74">
        <v>167</v>
      </c>
      <c r="U12" s="74">
        <v>1435</v>
      </c>
      <c r="V12" s="74">
        <v>468</v>
      </c>
      <c r="W12" s="74">
        <v>188</v>
      </c>
      <c r="X12" s="74">
        <v>80</v>
      </c>
      <c r="Y12" s="18"/>
      <c r="Z12" s="18">
        <f t="shared" si="0"/>
        <v>14047</v>
      </c>
    </row>
    <row r="13" spans="1:26" x14ac:dyDescent="0.25">
      <c r="A13" s="16" t="s">
        <v>23</v>
      </c>
      <c r="B13" s="17">
        <v>44454</v>
      </c>
      <c r="C13" s="74">
        <v>262</v>
      </c>
      <c r="D13" s="74">
        <v>201</v>
      </c>
      <c r="E13" s="74">
        <v>150</v>
      </c>
      <c r="F13" s="74">
        <v>248</v>
      </c>
      <c r="G13" s="74">
        <v>768</v>
      </c>
      <c r="H13" s="74">
        <v>96</v>
      </c>
      <c r="I13" s="74">
        <v>2987</v>
      </c>
      <c r="J13" s="76"/>
      <c r="K13" s="29"/>
      <c r="L13" s="29"/>
      <c r="M13" s="29"/>
      <c r="N13" s="29"/>
      <c r="O13" s="74">
        <v>2069</v>
      </c>
      <c r="P13" s="74">
        <v>1032</v>
      </c>
      <c r="Q13" s="74">
        <v>448</v>
      </c>
      <c r="R13" s="74">
        <v>2619</v>
      </c>
      <c r="S13" s="24"/>
      <c r="T13" s="74">
        <v>156</v>
      </c>
      <c r="U13" s="74">
        <v>1316</v>
      </c>
      <c r="V13" s="74">
        <v>355</v>
      </c>
      <c r="W13" s="74">
        <v>173</v>
      </c>
      <c r="X13" s="74">
        <v>62</v>
      </c>
      <c r="Y13" s="30"/>
      <c r="Z13" s="18">
        <f t="shared" si="0"/>
        <v>12942</v>
      </c>
    </row>
    <row r="14" spans="1:26" x14ac:dyDescent="0.25">
      <c r="A14" s="16" t="s">
        <v>24</v>
      </c>
      <c r="B14" s="17">
        <v>44455</v>
      </c>
      <c r="C14" s="74">
        <v>197</v>
      </c>
      <c r="D14" s="74">
        <v>190</v>
      </c>
      <c r="E14" s="74">
        <v>81</v>
      </c>
      <c r="F14" s="74">
        <v>200</v>
      </c>
      <c r="G14" s="74">
        <v>642</v>
      </c>
      <c r="H14" s="74">
        <v>79</v>
      </c>
      <c r="I14" s="74">
        <v>1700</v>
      </c>
      <c r="J14" s="76"/>
      <c r="K14" s="29"/>
      <c r="L14" s="29"/>
      <c r="M14" s="29"/>
      <c r="N14" s="29"/>
      <c r="O14" s="74">
        <v>1932</v>
      </c>
      <c r="P14" s="74">
        <v>912</v>
      </c>
      <c r="Q14" s="74">
        <v>408</v>
      </c>
      <c r="R14" s="74">
        <v>2237</v>
      </c>
      <c r="S14" s="24"/>
      <c r="T14" s="74">
        <v>121</v>
      </c>
      <c r="U14" s="74">
        <v>1059</v>
      </c>
      <c r="V14" s="74">
        <v>392</v>
      </c>
      <c r="W14" s="74">
        <v>131</v>
      </c>
      <c r="X14" s="74">
        <v>67</v>
      </c>
      <c r="Y14" s="30"/>
      <c r="Z14" s="18">
        <f t="shared" si="0"/>
        <v>10348</v>
      </c>
    </row>
    <row r="15" spans="1:26" x14ac:dyDescent="0.25">
      <c r="A15" s="16" t="s">
        <v>25</v>
      </c>
      <c r="B15" s="17">
        <v>44456</v>
      </c>
      <c r="C15" s="74">
        <v>193</v>
      </c>
      <c r="D15" s="74">
        <v>96</v>
      </c>
      <c r="E15" s="74">
        <v>58</v>
      </c>
      <c r="F15" s="74">
        <v>155</v>
      </c>
      <c r="G15" s="74">
        <v>403</v>
      </c>
      <c r="H15" s="74">
        <v>73</v>
      </c>
      <c r="I15" s="74">
        <v>3285</v>
      </c>
      <c r="J15" s="76"/>
      <c r="K15" s="29"/>
      <c r="L15" s="29"/>
      <c r="M15" s="29"/>
      <c r="N15" s="29"/>
      <c r="O15" s="74">
        <v>1610</v>
      </c>
      <c r="P15" s="74">
        <v>625</v>
      </c>
      <c r="Q15" s="74">
        <v>257</v>
      </c>
      <c r="R15" s="74">
        <v>2392</v>
      </c>
      <c r="S15" s="24"/>
      <c r="T15" s="74">
        <v>81</v>
      </c>
      <c r="U15" s="74">
        <v>1077</v>
      </c>
      <c r="V15" s="74">
        <v>411</v>
      </c>
      <c r="W15" s="74">
        <v>120</v>
      </c>
      <c r="X15" s="74">
        <v>105</v>
      </c>
      <c r="Y15" s="30"/>
      <c r="Z15" s="18">
        <f t="shared" si="0"/>
        <v>10941</v>
      </c>
    </row>
    <row r="16" spans="1:26" x14ac:dyDescent="0.25">
      <c r="A16" s="16" t="s">
        <v>21</v>
      </c>
      <c r="B16" s="17">
        <v>44459</v>
      </c>
      <c r="C16" s="74">
        <v>141</v>
      </c>
      <c r="D16" s="74">
        <v>108</v>
      </c>
      <c r="E16" s="74">
        <v>86</v>
      </c>
      <c r="F16" s="74">
        <v>213</v>
      </c>
      <c r="G16" s="74">
        <v>612</v>
      </c>
      <c r="H16" s="74">
        <v>117</v>
      </c>
      <c r="I16" s="74">
        <v>3407</v>
      </c>
      <c r="J16" s="76"/>
      <c r="K16" s="29"/>
      <c r="L16" s="29"/>
      <c r="M16" s="29"/>
      <c r="N16" s="29"/>
      <c r="O16" s="74">
        <v>1959</v>
      </c>
      <c r="P16" s="74">
        <v>876</v>
      </c>
      <c r="Q16" s="74">
        <v>401</v>
      </c>
      <c r="R16" s="74">
        <v>2517</v>
      </c>
      <c r="S16" s="24"/>
      <c r="T16" s="74">
        <v>134</v>
      </c>
      <c r="U16" s="74">
        <v>1291</v>
      </c>
      <c r="V16" s="74">
        <v>442</v>
      </c>
      <c r="W16" s="74">
        <v>169</v>
      </c>
      <c r="X16" s="74">
        <v>44</v>
      </c>
      <c r="Y16" s="30"/>
      <c r="Z16" s="18">
        <f>SUM(C16:Y16)</f>
        <v>12517</v>
      </c>
    </row>
    <row r="17" spans="1:26" x14ac:dyDescent="0.25">
      <c r="A17" s="16" t="s">
        <v>22</v>
      </c>
      <c r="B17" s="17">
        <v>44460</v>
      </c>
      <c r="C17" s="74">
        <v>244</v>
      </c>
      <c r="D17" s="74">
        <v>168</v>
      </c>
      <c r="E17" s="74">
        <v>268</v>
      </c>
      <c r="F17" s="74">
        <v>228</v>
      </c>
      <c r="G17" s="74">
        <v>743</v>
      </c>
      <c r="H17" s="74">
        <v>97</v>
      </c>
      <c r="I17" s="74">
        <v>2582</v>
      </c>
      <c r="J17" s="76"/>
      <c r="K17" s="29"/>
      <c r="L17" s="29"/>
      <c r="M17" s="29"/>
      <c r="N17" s="29"/>
      <c r="O17" s="74">
        <v>2338</v>
      </c>
      <c r="P17" s="74">
        <v>1249</v>
      </c>
      <c r="Q17" s="74">
        <v>434</v>
      </c>
      <c r="R17" s="74">
        <v>2791</v>
      </c>
      <c r="S17" s="24"/>
      <c r="T17" s="74">
        <v>171</v>
      </c>
      <c r="U17" s="74">
        <v>1385</v>
      </c>
      <c r="V17" s="74">
        <v>586</v>
      </c>
      <c r="W17" s="74">
        <v>182</v>
      </c>
      <c r="X17" s="74">
        <v>67</v>
      </c>
      <c r="Y17" s="30"/>
      <c r="Z17" s="18">
        <f t="shared" si="0"/>
        <v>13533</v>
      </c>
    </row>
    <row r="18" spans="1:26" x14ac:dyDescent="0.25">
      <c r="A18" s="16" t="s">
        <v>23</v>
      </c>
      <c r="B18" s="17">
        <v>44461</v>
      </c>
      <c r="C18" s="74">
        <v>264</v>
      </c>
      <c r="D18" s="74">
        <v>225</v>
      </c>
      <c r="E18" s="74">
        <v>80</v>
      </c>
      <c r="F18" s="74">
        <v>241</v>
      </c>
      <c r="G18" s="74">
        <v>780</v>
      </c>
      <c r="H18" s="74">
        <v>123</v>
      </c>
      <c r="I18" s="74">
        <v>3590</v>
      </c>
      <c r="J18" s="76"/>
      <c r="K18" s="18"/>
      <c r="L18" s="18"/>
      <c r="M18" s="18"/>
      <c r="N18" s="18"/>
      <c r="O18" s="74">
        <v>2261</v>
      </c>
      <c r="P18" s="74">
        <v>995</v>
      </c>
      <c r="Q18" s="74">
        <v>471</v>
      </c>
      <c r="R18" s="74">
        <v>2648</v>
      </c>
      <c r="S18" s="24"/>
      <c r="T18" s="74">
        <v>141</v>
      </c>
      <c r="U18" s="74">
        <v>1306</v>
      </c>
      <c r="V18" s="74">
        <v>533</v>
      </c>
      <c r="W18" s="74">
        <v>206</v>
      </c>
      <c r="X18" s="74">
        <v>88</v>
      </c>
      <c r="Y18" s="18"/>
      <c r="Z18" s="18">
        <f t="shared" si="0"/>
        <v>13952</v>
      </c>
    </row>
    <row r="19" spans="1:26" x14ac:dyDescent="0.25">
      <c r="A19" s="16" t="s">
        <v>24</v>
      </c>
      <c r="B19" s="17">
        <v>44462</v>
      </c>
      <c r="C19" s="74">
        <v>234</v>
      </c>
      <c r="D19" s="74">
        <v>211</v>
      </c>
      <c r="E19" s="74">
        <v>101</v>
      </c>
      <c r="F19" s="74">
        <v>227</v>
      </c>
      <c r="G19" s="74">
        <v>696</v>
      </c>
      <c r="H19" s="74">
        <v>79</v>
      </c>
      <c r="I19" s="74">
        <v>3679</v>
      </c>
      <c r="J19" s="76"/>
      <c r="K19" s="18"/>
      <c r="L19" s="18"/>
      <c r="M19" s="18"/>
      <c r="N19" s="18"/>
      <c r="O19" s="74">
        <v>1904</v>
      </c>
      <c r="P19" s="74">
        <v>938</v>
      </c>
      <c r="Q19" s="74">
        <v>453</v>
      </c>
      <c r="R19" s="74">
        <v>2477</v>
      </c>
      <c r="S19" s="24"/>
      <c r="T19" s="74">
        <v>136</v>
      </c>
      <c r="U19" s="74">
        <v>1068</v>
      </c>
      <c r="V19" s="74">
        <v>379</v>
      </c>
      <c r="W19" s="74">
        <v>138</v>
      </c>
      <c r="X19" s="74">
        <v>71</v>
      </c>
      <c r="Y19" s="18"/>
      <c r="Z19" s="18">
        <f t="shared" si="0"/>
        <v>12791</v>
      </c>
    </row>
    <row r="20" spans="1:26" x14ac:dyDescent="0.25">
      <c r="A20" s="16" t="s">
        <v>25</v>
      </c>
      <c r="B20" s="17">
        <v>44463</v>
      </c>
      <c r="C20" s="74">
        <v>187</v>
      </c>
      <c r="D20" s="74">
        <v>84</v>
      </c>
      <c r="E20" s="74">
        <v>111</v>
      </c>
      <c r="F20" s="74">
        <v>182</v>
      </c>
      <c r="G20" s="74">
        <v>396</v>
      </c>
      <c r="H20" s="74">
        <v>108</v>
      </c>
      <c r="I20" s="74">
        <v>3688</v>
      </c>
      <c r="J20" s="76"/>
      <c r="K20" s="18"/>
      <c r="L20" s="18"/>
      <c r="M20" s="18"/>
      <c r="N20" s="18"/>
      <c r="O20" s="74">
        <v>1973</v>
      </c>
      <c r="P20" s="74">
        <v>763</v>
      </c>
      <c r="Q20" s="74">
        <v>311</v>
      </c>
      <c r="R20" s="74">
        <v>2669</v>
      </c>
      <c r="S20" s="24"/>
      <c r="T20" s="74">
        <v>123</v>
      </c>
      <c r="U20" s="74">
        <v>1115</v>
      </c>
      <c r="V20" s="74">
        <v>399</v>
      </c>
      <c r="W20" s="74">
        <v>157</v>
      </c>
      <c r="X20" s="74">
        <v>63</v>
      </c>
      <c r="Y20" s="18"/>
      <c r="Z20" s="18">
        <f t="shared" si="0"/>
        <v>12329</v>
      </c>
    </row>
    <row r="21" spans="1:26" x14ac:dyDescent="0.25">
      <c r="A21" s="16" t="s">
        <v>21</v>
      </c>
      <c r="B21" s="17">
        <v>44466</v>
      </c>
      <c r="C21" s="74">
        <v>176</v>
      </c>
      <c r="D21" s="74">
        <v>144</v>
      </c>
      <c r="E21" s="74">
        <v>242</v>
      </c>
      <c r="F21" s="74">
        <v>177</v>
      </c>
      <c r="G21" s="74">
        <v>649</v>
      </c>
      <c r="H21" s="74">
        <v>157</v>
      </c>
      <c r="I21" s="74">
        <v>2166</v>
      </c>
      <c r="J21" s="76"/>
      <c r="K21" s="18"/>
      <c r="L21" s="18"/>
      <c r="M21" s="18"/>
      <c r="N21" s="18"/>
      <c r="O21" s="74">
        <v>1970</v>
      </c>
      <c r="P21" s="74">
        <v>924</v>
      </c>
      <c r="Q21" s="74">
        <v>415</v>
      </c>
      <c r="R21" s="74">
        <v>2620</v>
      </c>
      <c r="S21" s="24"/>
      <c r="T21" s="74">
        <v>155</v>
      </c>
      <c r="U21" s="74">
        <v>1034</v>
      </c>
      <c r="V21" s="74">
        <v>545</v>
      </c>
      <c r="W21" s="74">
        <v>137</v>
      </c>
      <c r="X21" s="74">
        <v>56</v>
      </c>
      <c r="Y21" s="18"/>
      <c r="Z21" s="18">
        <f t="shared" si="0"/>
        <v>11567</v>
      </c>
    </row>
    <row r="22" spans="1:26" x14ac:dyDescent="0.25">
      <c r="A22" s="16" t="s">
        <v>22</v>
      </c>
      <c r="B22" s="17">
        <v>44467</v>
      </c>
      <c r="C22" s="74">
        <v>262</v>
      </c>
      <c r="D22" s="74">
        <v>214</v>
      </c>
      <c r="E22" s="74">
        <v>300</v>
      </c>
      <c r="F22" s="74">
        <v>199</v>
      </c>
      <c r="G22" s="74">
        <v>793</v>
      </c>
      <c r="H22" s="74">
        <v>150</v>
      </c>
      <c r="I22" s="74">
        <v>1853</v>
      </c>
      <c r="J22" s="76"/>
      <c r="K22" s="18"/>
      <c r="L22" s="18"/>
      <c r="M22" s="18"/>
      <c r="N22" s="18"/>
      <c r="O22" s="74">
        <v>1865</v>
      </c>
      <c r="P22" s="74">
        <v>889</v>
      </c>
      <c r="Q22" s="74">
        <v>493</v>
      </c>
      <c r="R22" s="74">
        <v>2513</v>
      </c>
      <c r="S22" s="24"/>
      <c r="T22" s="74">
        <v>150</v>
      </c>
      <c r="U22" s="74">
        <v>1203</v>
      </c>
      <c r="V22" s="74">
        <v>605</v>
      </c>
      <c r="W22" s="74">
        <v>162</v>
      </c>
      <c r="X22" s="74">
        <v>75</v>
      </c>
      <c r="Y22" s="18"/>
      <c r="Z22" s="18">
        <f t="shared" si="0"/>
        <v>11726</v>
      </c>
    </row>
    <row r="23" spans="1:26" x14ac:dyDescent="0.25">
      <c r="A23" s="16" t="s">
        <v>23</v>
      </c>
      <c r="B23" s="17">
        <v>44468</v>
      </c>
      <c r="C23" s="74">
        <v>234</v>
      </c>
      <c r="D23" s="74">
        <v>217</v>
      </c>
      <c r="E23" s="74">
        <v>342</v>
      </c>
      <c r="F23" s="74">
        <v>245</v>
      </c>
      <c r="G23" s="74">
        <v>840</v>
      </c>
      <c r="H23" s="74">
        <v>140</v>
      </c>
      <c r="I23" s="74">
        <v>2711</v>
      </c>
      <c r="J23" s="76"/>
      <c r="K23" s="18"/>
      <c r="L23" s="18"/>
      <c r="M23" s="18"/>
      <c r="N23" s="18"/>
      <c r="O23" s="74">
        <v>2675</v>
      </c>
      <c r="P23" s="74">
        <v>1026</v>
      </c>
      <c r="Q23" s="74">
        <v>586</v>
      </c>
      <c r="R23" s="74">
        <v>2709</v>
      </c>
      <c r="S23" s="24"/>
      <c r="T23" s="74">
        <v>179</v>
      </c>
      <c r="U23" s="74">
        <v>1356</v>
      </c>
      <c r="V23" s="74">
        <v>671</v>
      </c>
      <c r="W23" s="74">
        <v>155</v>
      </c>
      <c r="X23" s="74">
        <v>95</v>
      </c>
      <c r="Y23" s="18"/>
      <c r="Z23" s="18">
        <f t="shared" si="0"/>
        <v>14181</v>
      </c>
    </row>
    <row r="24" spans="1:26" x14ac:dyDescent="0.25">
      <c r="A24" s="16" t="s">
        <v>24</v>
      </c>
      <c r="B24" s="17">
        <v>44469</v>
      </c>
      <c r="C24" s="74">
        <v>250</v>
      </c>
      <c r="D24" s="74">
        <v>271</v>
      </c>
      <c r="E24" s="74">
        <v>302</v>
      </c>
      <c r="F24" s="74">
        <v>247</v>
      </c>
      <c r="G24" s="74">
        <v>711</v>
      </c>
      <c r="H24" s="74">
        <v>77</v>
      </c>
      <c r="I24" s="74">
        <v>3876</v>
      </c>
      <c r="J24" s="76"/>
      <c r="K24" s="18"/>
      <c r="L24" s="18"/>
      <c r="M24" s="18"/>
      <c r="N24" s="18"/>
      <c r="O24" s="74">
        <v>2285</v>
      </c>
      <c r="P24" s="74">
        <v>997</v>
      </c>
      <c r="Q24" s="74">
        <v>511</v>
      </c>
      <c r="R24" s="74">
        <v>3143</v>
      </c>
      <c r="S24" s="24"/>
      <c r="T24" s="74">
        <v>229</v>
      </c>
      <c r="U24" s="74">
        <v>1291</v>
      </c>
      <c r="V24" s="74">
        <v>689</v>
      </c>
      <c r="W24" s="74">
        <v>136</v>
      </c>
      <c r="X24" s="74">
        <v>90</v>
      </c>
      <c r="Y24" s="18"/>
      <c r="Z24" s="18">
        <f t="shared" si="0"/>
        <v>15105</v>
      </c>
    </row>
    <row r="25" spans="1:26" x14ac:dyDescent="0.25">
      <c r="A25" s="106" t="s">
        <v>27</v>
      </c>
      <c r="B25" s="107"/>
      <c r="C25" s="21">
        <f t="shared" ref="C25:Z25" si="1">SUM(C3:C24)</f>
        <v>4328</v>
      </c>
      <c r="D25" s="21">
        <f t="shared" si="1"/>
        <v>3209</v>
      </c>
      <c r="E25" s="21">
        <f t="shared" si="1"/>
        <v>3391</v>
      </c>
      <c r="F25" s="21">
        <f t="shared" si="1"/>
        <v>3923</v>
      </c>
      <c r="G25" s="21">
        <f t="shared" si="1"/>
        <v>12485</v>
      </c>
      <c r="H25" s="21">
        <f t="shared" si="1"/>
        <v>2001</v>
      </c>
      <c r="I25" s="21">
        <f t="shared" si="1"/>
        <v>71429</v>
      </c>
      <c r="J25" s="21">
        <f t="shared" si="1"/>
        <v>2547</v>
      </c>
      <c r="K25" s="21">
        <f t="shared" si="1"/>
        <v>0</v>
      </c>
      <c r="L25" s="21">
        <f t="shared" si="1"/>
        <v>0</v>
      </c>
      <c r="M25" s="21">
        <f t="shared" si="1"/>
        <v>0</v>
      </c>
      <c r="N25" s="21">
        <f t="shared" si="1"/>
        <v>0</v>
      </c>
      <c r="O25" s="21">
        <f t="shared" si="1"/>
        <v>42136</v>
      </c>
      <c r="P25" s="21">
        <f t="shared" si="1"/>
        <v>18943</v>
      </c>
      <c r="Q25" s="21">
        <f t="shared" si="1"/>
        <v>7940</v>
      </c>
      <c r="R25" s="21">
        <f t="shared" si="1"/>
        <v>53278</v>
      </c>
      <c r="S25" s="21">
        <f t="shared" si="1"/>
        <v>0</v>
      </c>
      <c r="T25" s="21">
        <f t="shared" si="1"/>
        <v>2782</v>
      </c>
      <c r="U25" s="21">
        <f t="shared" si="1"/>
        <v>24539</v>
      </c>
      <c r="V25" s="21">
        <f t="shared" si="1"/>
        <v>9507</v>
      </c>
      <c r="W25" s="21">
        <f t="shared" si="1"/>
        <v>3001</v>
      </c>
      <c r="X25" s="21">
        <f t="shared" si="1"/>
        <v>1308</v>
      </c>
      <c r="Y25" s="21">
        <f t="shared" si="1"/>
        <v>0</v>
      </c>
      <c r="Z25" s="21">
        <f t="shared" si="1"/>
        <v>266747</v>
      </c>
    </row>
    <row r="28" spans="1:26" ht="12.75" customHeight="1" x14ac:dyDescent="0.25">
      <c r="A28" s="110" t="s">
        <v>86</v>
      </c>
      <c r="B28" s="111"/>
      <c r="C28" s="108" t="s">
        <v>8</v>
      </c>
      <c r="D28" s="108"/>
      <c r="E28" s="108"/>
      <c r="F28" s="108"/>
      <c r="G28" s="108"/>
      <c r="H28" s="108"/>
      <c r="I28" s="31" t="s">
        <v>87</v>
      </c>
      <c r="J28" s="31" t="s">
        <v>28</v>
      </c>
      <c r="K28" s="108" t="s">
        <v>29</v>
      </c>
      <c r="L28" s="108"/>
      <c r="M28" s="108"/>
      <c r="N28" s="108"/>
      <c r="O28" s="108" t="s">
        <v>30</v>
      </c>
      <c r="P28" s="108"/>
      <c r="Q28" s="108"/>
      <c r="R28" s="108" t="s">
        <v>31</v>
      </c>
      <c r="S28" s="108"/>
      <c r="T28" s="108"/>
      <c r="U28" s="108"/>
      <c r="V28" s="108"/>
      <c r="W28" s="108"/>
      <c r="X28" s="108"/>
      <c r="Y28" s="108"/>
      <c r="Z28" s="109" t="s">
        <v>7</v>
      </c>
    </row>
    <row r="29" spans="1:26" ht="51.75" customHeight="1" x14ac:dyDescent="0.25">
      <c r="A29" s="32" t="s">
        <v>0</v>
      </c>
      <c r="B29" s="33" t="s">
        <v>1</v>
      </c>
      <c r="C29" s="32" t="s">
        <v>32</v>
      </c>
      <c r="D29" s="32" t="s">
        <v>33</v>
      </c>
      <c r="E29" s="32" t="s">
        <v>34</v>
      </c>
      <c r="F29" s="32" t="s">
        <v>35</v>
      </c>
      <c r="G29" s="32" t="s">
        <v>36</v>
      </c>
      <c r="H29" s="32" t="s">
        <v>37</v>
      </c>
      <c r="I29" s="32" t="s">
        <v>38</v>
      </c>
      <c r="J29" s="32" t="s">
        <v>19</v>
      </c>
      <c r="K29" s="32" t="s">
        <v>39</v>
      </c>
      <c r="L29" s="32" t="s">
        <v>40</v>
      </c>
      <c r="M29" s="32" t="s">
        <v>8</v>
      </c>
      <c r="N29" s="32" t="s">
        <v>41</v>
      </c>
      <c r="O29" s="32" t="s">
        <v>32</v>
      </c>
      <c r="P29" s="32" t="s">
        <v>34</v>
      </c>
      <c r="Q29" s="32" t="s">
        <v>42</v>
      </c>
      <c r="R29" s="32" t="s">
        <v>43</v>
      </c>
      <c r="S29" s="32" t="s">
        <v>44</v>
      </c>
      <c r="T29" s="32" t="s">
        <v>45</v>
      </c>
      <c r="U29" s="32" t="s">
        <v>46</v>
      </c>
      <c r="V29" s="34" t="s">
        <v>47</v>
      </c>
      <c r="W29" s="32" t="s">
        <v>32</v>
      </c>
      <c r="X29" s="32" t="s">
        <v>34</v>
      </c>
      <c r="Y29" s="32" t="s">
        <v>48</v>
      </c>
      <c r="Z29" s="109"/>
    </row>
    <row r="30" spans="1:26" x14ac:dyDescent="0.25">
      <c r="A30" s="16" t="s">
        <v>26</v>
      </c>
      <c r="B30" s="17">
        <v>44443</v>
      </c>
      <c r="C30" s="18"/>
      <c r="D30" s="18"/>
      <c r="E30" s="18"/>
      <c r="F30" s="18"/>
      <c r="G30" s="18"/>
      <c r="H30" s="18"/>
      <c r="I30" s="75">
        <v>13517</v>
      </c>
      <c r="J30" s="75">
        <v>3030</v>
      </c>
      <c r="K30" s="18">
        <v>332</v>
      </c>
      <c r="L30" s="18">
        <v>120</v>
      </c>
      <c r="M30" s="18">
        <v>387</v>
      </c>
      <c r="N30" s="18">
        <v>726</v>
      </c>
      <c r="O30" s="75">
        <v>1472</v>
      </c>
      <c r="P30" s="75">
        <v>845</v>
      </c>
      <c r="Q30" s="18"/>
      <c r="R30" s="75">
        <v>2697</v>
      </c>
      <c r="S30" s="19"/>
      <c r="T30" s="19"/>
      <c r="U30" s="75">
        <v>1192</v>
      </c>
      <c r="V30" s="19"/>
      <c r="W30" s="18"/>
      <c r="X30" s="18"/>
      <c r="Y30" s="75">
        <v>1354</v>
      </c>
      <c r="Z30" s="18">
        <f>SUM(C30:Y30)</f>
        <v>25672</v>
      </c>
    </row>
    <row r="31" spans="1:26" x14ac:dyDescent="0.25">
      <c r="A31" s="16" t="s">
        <v>20</v>
      </c>
      <c r="B31" s="17">
        <v>44444</v>
      </c>
      <c r="C31" s="18"/>
      <c r="D31" s="18"/>
      <c r="E31" s="18"/>
      <c r="F31" s="25"/>
      <c r="G31" s="25"/>
      <c r="H31" s="18"/>
      <c r="I31" s="75">
        <v>6801</v>
      </c>
      <c r="J31" s="75">
        <v>2158</v>
      </c>
      <c r="K31" s="18">
        <v>212</v>
      </c>
      <c r="L31" s="18">
        <v>123</v>
      </c>
      <c r="M31" s="18">
        <v>303</v>
      </c>
      <c r="N31" s="18">
        <v>573</v>
      </c>
      <c r="O31" s="75">
        <v>1083</v>
      </c>
      <c r="P31" s="75">
        <v>611</v>
      </c>
      <c r="Q31" s="16"/>
      <c r="R31" s="75">
        <v>1686</v>
      </c>
      <c r="S31" s="16"/>
      <c r="T31" s="25"/>
      <c r="U31" s="75">
        <v>699</v>
      </c>
      <c r="V31" s="24"/>
      <c r="W31" s="18"/>
      <c r="X31" s="18"/>
      <c r="Y31" s="75">
        <v>911</v>
      </c>
      <c r="Z31" s="18">
        <f t="shared" ref="Z31:Z37" si="2">SUM(C31:Y31)</f>
        <v>15160</v>
      </c>
    </row>
    <row r="32" spans="1:26" x14ac:dyDescent="0.25">
      <c r="A32" s="16" t="s">
        <v>26</v>
      </c>
      <c r="B32" s="17">
        <v>44450</v>
      </c>
      <c r="C32" s="18"/>
      <c r="D32" s="18"/>
      <c r="E32" s="18"/>
      <c r="F32" s="25"/>
      <c r="G32" s="25"/>
      <c r="H32" s="18"/>
      <c r="I32" s="75">
        <v>6323</v>
      </c>
      <c r="J32" s="75">
        <v>3209</v>
      </c>
      <c r="K32" s="18">
        <v>219</v>
      </c>
      <c r="L32" s="18">
        <v>60</v>
      </c>
      <c r="M32" s="18">
        <v>250</v>
      </c>
      <c r="N32" s="18">
        <v>493</v>
      </c>
      <c r="O32" s="75">
        <v>1750</v>
      </c>
      <c r="P32" s="75">
        <v>912</v>
      </c>
      <c r="Q32" s="25"/>
      <c r="R32" s="75">
        <v>2466</v>
      </c>
      <c r="S32" s="25"/>
      <c r="T32" s="25"/>
      <c r="U32" s="75">
        <v>1279</v>
      </c>
      <c r="V32" s="24"/>
      <c r="W32" s="18"/>
      <c r="X32" s="16"/>
      <c r="Y32" s="75">
        <v>1592</v>
      </c>
      <c r="Z32" s="18">
        <f t="shared" si="2"/>
        <v>18553</v>
      </c>
    </row>
    <row r="33" spans="1:26" x14ac:dyDescent="0.25">
      <c r="A33" s="16" t="s">
        <v>20</v>
      </c>
      <c r="B33" s="17">
        <v>44451</v>
      </c>
      <c r="C33" s="18"/>
      <c r="D33" s="18"/>
      <c r="E33" s="18"/>
      <c r="F33" s="18"/>
      <c r="G33" s="18"/>
      <c r="H33" s="18"/>
      <c r="I33" s="75">
        <v>6189</v>
      </c>
      <c r="J33" s="75">
        <v>2381</v>
      </c>
      <c r="K33" s="18">
        <v>170</v>
      </c>
      <c r="L33" s="18">
        <v>77</v>
      </c>
      <c r="M33" s="18">
        <v>193</v>
      </c>
      <c r="N33" s="18">
        <v>386</v>
      </c>
      <c r="O33" s="75">
        <v>1403</v>
      </c>
      <c r="P33" s="75">
        <v>816</v>
      </c>
      <c r="Q33" s="18"/>
      <c r="R33" s="75">
        <v>2179</v>
      </c>
      <c r="S33" s="18"/>
      <c r="T33" s="18"/>
      <c r="U33" s="75">
        <v>876</v>
      </c>
      <c r="V33" s="24"/>
      <c r="W33" s="18"/>
      <c r="X33" s="18"/>
      <c r="Y33" s="75">
        <v>967</v>
      </c>
      <c r="Z33" s="18">
        <f t="shared" si="2"/>
        <v>15637</v>
      </c>
    </row>
    <row r="34" spans="1:26" x14ac:dyDescent="0.25">
      <c r="A34" s="16" t="s">
        <v>26</v>
      </c>
      <c r="B34" s="17">
        <v>44457</v>
      </c>
      <c r="C34" s="18"/>
      <c r="D34" s="18"/>
      <c r="E34" s="18"/>
      <c r="F34" s="18"/>
      <c r="G34" s="18"/>
      <c r="H34" s="18"/>
      <c r="I34" s="75">
        <v>8397</v>
      </c>
      <c r="J34" s="75">
        <v>2661</v>
      </c>
      <c r="K34" s="18">
        <v>217</v>
      </c>
      <c r="L34" s="18">
        <v>81</v>
      </c>
      <c r="M34" s="18">
        <v>261</v>
      </c>
      <c r="N34" s="18">
        <v>452</v>
      </c>
      <c r="O34" s="75">
        <v>1360</v>
      </c>
      <c r="P34" s="75">
        <v>875</v>
      </c>
      <c r="Q34" s="18"/>
      <c r="R34" s="75">
        <v>2889</v>
      </c>
      <c r="S34" s="75">
        <v>1885</v>
      </c>
      <c r="T34" s="18"/>
      <c r="U34" s="26"/>
      <c r="V34" s="75">
        <v>1885</v>
      </c>
      <c r="W34" s="18"/>
      <c r="X34" s="18"/>
      <c r="Y34" s="75">
        <v>1114</v>
      </c>
      <c r="Z34" s="18">
        <f t="shared" si="2"/>
        <v>22077</v>
      </c>
    </row>
    <row r="35" spans="1:26" x14ac:dyDescent="0.25">
      <c r="A35" s="16" t="s">
        <v>20</v>
      </c>
      <c r="B35" s="17">
        <v>44458</v>
      </c>
      <c r="C35" s="29"/>
      <c r="D35" s="29"/>
      <c r="E35" s="29"/>
      <c r="F35" s="29"/>
      <c r="G35" s="29"/>
      <c r="H35" s="29"/>
      <c r="I35" s="75">
        <v>6842</v>
      </c>
      <c r="J35" s="75">
        <v>2101</v>
      </c>
      <c r="K35" s="29">
        <v>142</v>
      </c>
      <c r="L35" s="29">
        <v>79</v>
      </c>
      <c r="M35" s="29">
        <v>189</v>
      </c>
      <c r="N35" s="29">
        <v>313</v>
      </c>
      <c r="O35" s="75">
        <v>1997</v>
      </c>
      <c r="P35" s="75">
        <v>1040</v>
      </c>
      <c r="Q35" s="29"/>
      <c r="R35" s="75">
        <v>2590</v>
      </c>
      <c r="S35" s="75">
        <v>1576</v>
      </c>
      <c r="T35" s="29"/>
      <c r="U35" s="26"/>
      <c r="V35" s="75">
        <v>1576</v>
      </c>
      <c r="W35" s="29"/>
      <c r="X35" s="29"/>
      <c r="Y35" s="75">
        <v>1209</v>
      </c>
      <c r="Z35" s="18">
        <f t="shared" si="2"/>
        <v>19654</v>
      </c>
    </row>
    <row r="36" spans="1:26" x14ac:dyDescent="0.25">
      <c r="A36" s="16" t="s">
        <v>26</v>
      </c>
      <c r="B36" s="17">
        <v>44464</v>
      </c>
      <c r="C36" s="29"/>
      <c r="D36" s="29"/>
      <c r="E36" s="29"/>
      <c r="F36" s="29"/>
      <c r="G36" s="29"/>
      <c r="H36" s="29"/>
      <c r="I36" s="75">
        <v>6666</v>
      </c>
      <c r="J36" s="75">
        <v>1835</v>
      </c>
      <c r="K36" s="30">
        <v>147</v>
      </c>
      <c r="L36" s="30">
        <v>104</v>
      </c>
      <c r="M36" s="30">
        <v>261</v>
      </c>
      <c r="N36" s="30">
        <v>377</v>
      </c>
      <c r="O36" s="75">
        <v>1891</v>
      </c>
      <c r="P36" s="75">
        <v>1119</v>
      </c>
      <c r="Q36" s="29"/>
      <c r="R36" s="75">
        <v>3600</v>
      </c>
      <c r="S36" s="75">
        <v>2226</v>
      </c>
      <c r="T36" s="29"/>
      <c r="U36" s="26"/>
      <c r="V36" s="75">
        <v>2226</v>
      </c>
      <c r="W36" s="29"/>
      <c r="X36" s="29"/>
      <c r="Y36" s="75">
        <v>871</v>
      </c>
      <c r="Z36" s="18">
        <f t="shared" si="2"/>
        <v>21323</v>
      </c>
    </row>
    <row r="37" spans="1:26" x14ac:dyDescent="0.25">
      <c r="A37" s="16" t="s">
        <v>20</v>
      </c>
      <c r="B37" s="17">
        <v>44465</v>
      </c>
      <c r="C37" s="18">
        <v>0</v>
      </c>
      <c r="D37" s="18"/>
      <c r="E37" s="18"/>
      <c r="F37" s="18"/>
      <c r="G37" s="18"/>
      <c r="H37" s="18"/>
      <c r="I37" s="75">
        <v>8496</v>
      </c>
      <c r="J37" s="75">
        <v>3768</v>
      </c>
      <c r="K37" s="18">
        <v>252</v>
      </c>
      <c r="L37" s="18">
        <v>338</v>
      </c>
      <c r="M37" s="18">
        <v>358</v>
      </c>
      <c r="N37" s="18">
        <v>429</v>
      </c>
      <c r="O37" s="75">
        <v>1655</v>
      </c>
      <c r="P37" s="75">
        <v>1303</v>
      </c>
      <c r="Q37" s="18"/>
      <c r="R37" s="75">
        <v>2376</v>
      </c>
      <c r="S37" s="75">
        <v>1530</v>
      </c>
      <c r="T37" s="18"/>
      <c r="U37" s="24"/>
      <c r="V37" s="75">
        <v>1530</v>
      </c>
      <c r="W37" s="18"/>
      <c r="X37" s="18"/>
      <c r="Y37" s="75">
        <v>2073</v>
      </c>
      <c r="Z37" s="18">
        <f t="shared" si="2"/>
        <v>24108</v>
      </c>
    </row>
    <row r="38" spans="1:26" x14ac:dyDescent="0.25">
      <c r="A38" s="106" t="s">
        <v>27</v>
      </c>
      <c r="B38" s="107"/>
      <c r="C38" s="21">
        <f t="shared" ref="C38:Z38" si="3">SUM(C30:C37)</f>
        <v>0</v>
      </c>
      <c r="D38" s="21">
        <f t="shared" si="3"/>
        <v>0</v>
      </c>
      <c r="E38" s="21">
        <f t="shared" si="3"/>
        <v>0</v>
      </c>
      <c r="F38" s="21">
        <f t="shared" si="3"/>
        <v>0</v>
      </c>
      <c r="G38" s="21">
        <f t="shared" si="3"/>
        <v>0</v>
      </c>
      <c r="H38" s="21">
        <f t="shared" si="3"/>
        <v>0</v>
      </c>
      <c r="I38" s="21">
        <f t="shared" si="3"/>
        <v>63231</v>
      </c>
      <c r="J38" s="21">
        <f t="shared" si="3"/>
        <v>21143</v>
      </c>
      <c r="K38" s="21">
        <f t="shared" si="3"/>
        <v>1691</v>
      </c>
      <c r="L38" s="21">
        <f t="shared" si="3"/>
        <v>982</v>
      </c>
      <c r="M38" s="21">
        <f t="shared" si="3"/>
        <v>2202</v>
      </c>
      <c r="N38" s="21">
        <f t="shared" si="3"/>
        <v>3749</v>
      </c>
      <c r="O38" s="21">
        <f t="shared" si="3"/>
        <v>12611</v>
      </c>
      <c r="P38" s="21">
        <f t="shared" si="3"/>
        <v>7521</v>
      </c>
      <c r="Q38" s="21">
        <f t="shared" si="3"/>
        <v>0</v>
      </c>
      <c r="R38" s="21">
        <f t="shared" si="3"/>
        <v>20483</v>
      </c>
      <c r="S38" s="21">
        <f t="shared" si="3"/>
        <v>7217</v>
      </c>
      <c r="T38" s="21">
        <f t="shared" si="3"/>
        <v>0</v>
      </c>
      <c r="U38" s="21">
        <f t="shared" si="3"/>
        <v>4046</v>
      </c>
      <c r="V38" s="21">
        <f t="shared" si="3"/>
        <v>7217</v>
      </c>
      <c r="W38" s="21">
        <f t="shared" si="3"/>
        <v>0</v>
      </c>
      <c r="X38" s="21">
        <f t="shared" si="3"/>
        <v>0</v>
      </c>
      <c r="Y38" s="21">
        <f t="shared" si="3"/>
        <v>10091</v>
      </c>
      <c r="Z38" s="21">
        <f t="shared" si="3"/>
        <v>162184</v>
      </c>
    </row>
    <row r="40" spans="1:26" ht="30" x14ac:dyDescent="0.25">
      <c r="C40" s="102" t="s">
        <v>88</v>
      </c>
      <c r="D40" s="102"/>
      <c r="E40" s="102"/>
      <c r="F40" s="102"/>
      <c r="H40" s="112" t="s">
        <v>63</v>
      </c>
      <c r="I40" s="58" t="s">
        <v>8</v>
      </c>
      <c r="J40" s="58" t="s">
        <v>64</v>
      </c>
      <c r="K40" s="59" t="s">
        <v>31</v>
      </c>
      <c r="L40" s="60" t="s">
        <v>13</v>
      </c>
      <c r="M40" s="46" t="s">
        <v>7</v>
      </c>
    </row>
    <row r="41" spans="1:26" x14ac:dyDescent="0.25">
      <c r="C41" s="105" t="s">
        <v>7</v>
      </c>
      <c r="D41" s="105"/>
      <c r="E41" s="105"/>
      <c r="F41" s="22">
        <f>Z25+Z38</f>
        <v>428931</v>
      </c>
      <c r="H41" s="113"/>
      <c r="I41" s="42">
        <f>SUM(C25:H25, C38:H38,M25,M38)</f>
        <v>31539</v>
      </c>
      <c r="J41" s="42">
        <f>SUM(I25,I38)</f>
        <v>134660</v>
      </c>
      <c r="K41" s="44">
        <f>SUM(R25:Y25,R38:Y38)</f>
        <v>143469</v>
      </c>
      <c r="L41" s="44">
        <f>SUM(K25,K38)</f>
        <v>1691</v>
      </c>
      <c r="M41" s="47">
        <f>SUM(I41:L41)</f>
        <v>311359</v>
      </c>
    </row>
    <row r="42" spans="1:26" x14ac:dyDescent="0.25">
      <c r="C42" s="105" t="s">
        <v>84</v>
      </c>
      <c r="D42" s="105"/>
      <c r="E42" s="105"/>
      <c r="F42" s="22">
        <f>Z25</f>
        <v>266747</v>
      </c>
    </row>
    <row r="43" spans="1:26" x14ac:dyDescent="0.25">
      <c r="C43" s="105" t="s">
        <v>67</v>
      </c>
      <c r="D43" s="105"/>
      <c r="E43" s="105"/>
      <c r="F43" s="22">
        <f>AVERAGE(Z3:Z24)</f>
        <v>12124.863636363636</v>
      </c>
    </row>
  </sheetData>
  <mergeCells count="19">
    <mergeCell ref="H40:H41"/>
    <mergeCell ref="C40:F40"/>
    <mergeCell ref="C41:E41"/>
    <mergeCell ref="C42:E42"/>
    <mergeCell ref="C43:E43"/>
    <mergeCell ref="A38:B38"/>
    <mergeCell ref="O28:Q28"/>
    <mergeCell ref="R28:Y28"/>
    <mergeCell ref="Z28:Z29"/>
    <mergeCell ref="A1:B1"/>
    <mergeCell ref="A25:B25"/>
    <mergeCell ref="A28:B28"/>
    <mergeCell ref="C28:H28"/>
    <mergeCell ref="K28:N28"/>
    <mergeCell ref="R1:Y1"/>
    <mergeCell ref="Z1:Z2"/>
    <mergeCell ref="C1:H1"/>
    <mergeCell ref="K1:N1"/>
    <mergeCell ref="O1:Q1"/>
  </mergeCells>
  <pageMargins left="0.7" right="0.7" top="0.75" bottom="0.75" header="0.3" footer="0.3"/>
  <pageSetup orientation="portrait" r:id="rId1"/>
  <ignoredErrors>
    <ignoredError sqref="Z3:Z7 Z8:Z12 Z13:Z15 Z18:Z22 Z23:Z24 Z17 Z30:Z3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"/>
  <sheetViews>
    <sheetView workbookViewId="0">
      <selection activeCell="C37" sqref="C37"/>
    </sheetView>
  </sheetViews>
  <sheetFormatPr defaultRowHeight="15" x14ac:dyDescent="0.25"/>
  <cols>
    <col min="1" max="1" width="11.7109375" style="2" bestFit="1" customWidth="1"/>
    <col min="2" max="2" width="8.7109375" style="2" bestFit="1" customWidth="1"/>
    <col min="3" max="3" width="12.42578125" style="2" customWidth="1"/>
    <col min="4" max="4" width="10.42578125" style="2" bestFit="1" customWidth="1"/>
    <col min="5" max="5" width="12.140625" style="2" bestFit="1" customWidth="1"/>
    <col min="6" max="6" width="13.140625" style="2" customWidth="1"/>
    <col min="7" max="7" width="10.42578125" style="2" bestFit="1" customWidth="1"/>
    <col min="8" max="8" width="12.140625" style="2" bestFit="1" customWidth="1"/>
    <col min="9" max="16384" width="9.140625" style="2"/>
  </cols>
  <sheetData>
    <row r="1" spans="1:10" x14ac:dyDescent="0.25">
      <c r="A1" s="108" t="s">
        <v>68</v>
      </c>
      <c r="B1" s="108"/>
      <c r="C1" s="108" t="s">
        <v>49</v>
      </c>
      <c r="D1" s="108"/>
      <c r="E1" s="108"/>
      <c r="F1" s="108" t="s">
        <v>13</v>
      </c>
      <c r="G1" s="108"/>
      <c r="H1" s="108"/>
      <c r="I1" s="109" t="s">
        <v>7</v>
      </c>
    </row>
    <row r="2" spans="1:10" ht="30" customHeight="1" x14ac:dyDescent="0.25">
      <c r="A2" s="32" t="s">
        <v>0</v>
      </c>
      <c r="B2" s="33" t="s">
        <v>1</v>
      </c>
      <c r="C2" s="32" t="s">
        <v>50</v>
      </c>
      <c r="D2" s="32" t="s">
        <v>51</v>
      </c>
      <c r="E2" s="32" t="s">
        <v>52</v>
      </c>
      <c r="F2" s="32" t="s">
        <v>50</v>
      </c>
      <c r="G2" s="32" t="s">
        <v>51</v>
      </c>
      <c r="H2" s="32" t="s">
        <v>52</v>
      </c>
      <c r="I2" s="109"/>
    </row>
    <row r="3" spans="1:10" x14ac:dyDescent="0.25">
      <c r="A3" s="16" t="s">
        <v>23</v>
      </c>
      <c r="B3" s="17">
        <v>44440</v>
      </c>
      <c r="C3" s="79">
        <f>113+109</f>
        <v>222</v>
      </c>
      <c r="D3" s="80">
        <f>237+236</f>
        <v>473</v>
      </c>
      <c r="E3" s="80">
        <v>0</v>
      </c>
      <c r="F3" s="80">
        <f>81+93</f>
        <v>174</v>
      </c>
      <c r="G3" s="80">
        <f>206+209</f>
        <v>415</v>
      </c>
      <c r="H3" s="80">
        <v>0</v>
      </c>
      <c r="I3" s="35">
        <f>SUM(C3:H3)</f>
        <v>1284</v>
      </c>
      <c r="J3" s="28"/>
    </row>
    <row r="4" spans="1:10" x14ac:dyDescent="0.25">
      <c r="A4" s="16" t="s">
        <v>24</v>
      </c>
      <c r="B4" s="17">
        <v>44441</v>
      </c>
      <c r="C4" s="79">
        <f>91+166</f>
        <v>257</v>
      </c>
      <c r="D4" s="80">
        <f>351+229</f>
        <v>580</v>
      </c>
      <c r="E4" s="80">
        <v>0</v>
      </c>
      <c r="F4" s="80">
        <f>100+197</f>
        <v>297</v>
      </c>
      <c r="G4" s="80">
        <f>259+387</f>
        <v>646</v>
      </c>
      <c r="H4" s="80">
        <v>0</v>
      </c>
      <c r="I4" s="35">
        <f t="shared" ref="I4:I24" si="0">SUM(C4:H4)</f>
        <v>1780</v>
      </c>
      <c r="J4" s="28"/>
    </row>
    <row r="5" spans="1:10" x14ac:dyDescent="0.25">
      <c r="A5" s="16" t="s">
        <v>25</v>
      </c>
      <c r="B5" s="17">
        <v>44442</v>
      </c>
      <c r="C5" s="79">
        <f>105+172</f>
        <v>277</v>
      </c>
      <c r="D5" s="80">
        <f>417+189</f>
        <v>606</v>
      </c>
      <c r="E5" s="80">
        <v>18</v>
      </c>
      <c r="F5" s="80">
        <f>103+209</f>
        <v>312</v>
      </c>
      <c r="G5" s="80">
        <f>194+455</f>
        <v>649</v>
      </c>
      <c r="H5" s="80">
        <v>43</v>
      </c>
      <c r="I5" s="35">
        <f t="shared" si="0"/>
        <v>1905</v>
      </c>
      <c r="J5" s="28"/>
    </row>
    <row r="6" spans="1:10" x14ac:dyDescent="0.25">
      <c r="A6" s="16" t="s">
        <v>21</v>
      </c>
      <c r="B6" s="17">
        <v>44445</v>
      </c>
      <c r="C6" s="79">
        <v>0</v>
      </c>
      <c r="D6" s="80">
        <f>117+472</f>
        <v>589</v>
      </c>
      <c r="E6" s="80">
        <v>360</v>
      </c>
      <c r="F6" s="80">
        <v>0</v>
      </c>
      <c r="G6" s="80">
        <f>460+128</f>
        <v>588</v>
      </c>
      <c r="H6" s="80">
        <v>451</v>
      </c>
      <c r="I6" s="35">
        <f t="shared" si="0"/>
        <v>1988</v>
      </c>
      <c r="J6" s="28"/>
    </row>
    <row r="7" spans="1:10" x14ac:dyDescent="0.25">
      <c r="A7" s="16" t="s">
        <v>22</v>
      </c>
      <c r="B7" s="17">
        <v>44446</v>
      </c>
      <c r="C7" s="79">
        <f>169+128</f>
        <v>297</v>
      </c>
      <c r="D7" s="80">
        <f>263+356</f>
        <v>619</v>
      </c>
      <c r="E7" s="80">
        <v>21</v>
      </c>
      <c r="F7" s="80">
        <f>162+119</f>
        <v>281</v>
      </c>
      <c r="G7" s="80">
        <f>358+237</f>
        <v>595</v>
      </c>
      <c r="H7" s="80">
        <v>93</v>
      </c>
      <c r="I7" s="35">
        <f t="shared" si="0"/>
        <v>1906</v>
      </c>
      <c r="J7" s="28"/>
    </row>
    <row r="8" spans="1:10" x14ac:dyDescent="0.25">
      <c r="A8" s="16" t="s">
        <v>23</v>
      </c>
      <c r="B8" s="17">
        <v>44447</v>
      </c>
      <c r="C8" s="79">
        <f>168+162</f>
        <v>330</v>
      </c>
      <c r="D8" s="80">
        <f>259+341</f>
        <v>600</v>
      </c>
      <c r="E8" s="80">
        <v>12</v>
      </c>
      <c r="F8" s="80">
        <f>167+154</f>
        <v>321</v>
      </c>
      <c r="G8" s="80">
        <f>331+268</f>
        <v>599</v>
      </c>
      <c r="H8" s="80">
        <v>4</v>
      </c>
      <c r="I8" s="35">
        <f t="shared" si="0"/>
        <v>1866</v>
      </c>
      <c r="J8" s="28"/>
    </row>
    <row r="9" spans="1:10" x14ac:dyDescent="0.25">
      <c r="A9" s="16" t="s">
        <v>24</v>
      </c>
      <c r="B9" s="17">
        <v>44448</v>
      </c>
      <c r="C9" s="79">
        <f>205+174</f>
        <v>379</v>
      </c>
      <c r="D9" s="80">
        <f>293+313</f>
        <v>606</v>
      </c>
      <c r="E9" s="80">
        <v>0</v>
      </c>
      <c r="F9" s="80">
        <f>149+150</f>
        <v>299</v>
      </c>
      <c r="G9" s="80">
        <f>271+248</f>
        <v>519</v>
      </c>
      <c r="H9" s="80">
        <v>0</v>
      </c>
      <c r="I9" s="35">
        <f t="shared" si="0"/>
        <v>1803</v>
      </c>
      <c r="J9" s="28"/>
    </row>
    <row r="10" spans="1:10" x14ac:dyDescent="0.25">
      <c r="A10" s="16" t="s">
        <v>25</v>
      </c>
      <c r="B10" s="17">
        <v>44449</v>
      </c>
      <c r="C10" s="79">
        <f>132+191</f>
        <v>323</v>
      </c>
      <c r="D10" s="80">
        <f>315+241</f>
        <v>556</v>
      </c>
      <c r="E10" s="80">
        <v>18</v>
      </c>
      <c r="F10" s="80">
        <f>103+169</f>
        <v>272</v>
      </c>
      <c r="G10" s="80">
        <f>220+270</f>
        <v>490</v>
      </c>
      <c r="H10" s="80">
        <v>29</v>
      </c>
      <c r="I10" s="35">
        <f>SUM(C10:H10)</f>
        <v>1688</v>
      </c>
      <c r="J10" s="28"/>
    </row>
    <row r="11" spans="1:10" x14ac:dyDescent="0.25">
      <c r="A11" s="16" t="s">
        <v>21</v>
      </c>
      <c r="B11" s="17">
        <v>44452</v>
      </c>
      <c r="C11" s="79">
        <f>189+153</f>
        <v>342</v>
      </c>
      <c r="D11" s="80">
        <f>238+294</f>
        <v>532</v>
      </c>
      <c r="E11" s="80">
        <v>28</v>
      </c>
      <c r="F11" s="80">
        <f>175+133</f>
        <v>308</v>
      </c>
      <c r="G11" s="80">
        <f>305+225</f>
        <v>530</v>
      </c>
      <c r="H11" s="80">
        <v>35</v>
      </c>
      <c r="I11" s="35">
        <f t="shared" si="0"/>
        <v>1775</v>
      </c>
      <c r="J11" s="28"/>
    </row>
    <row r="12" spans="1:10" x14ac:dyDescent="0.25">
      <c r="A12" s="16" t="s">
        <v>22</v>
      </c>
      <c r="B12" s="17">
        <v>44453</v>
      </c>
      <c r="C12" s="79">
        <f>251+207</f>
        <v>458</v>
      </c>
      <c r="D12" s="80">
        <f>360+364</f>
        <v>724</v>
      </c>
      <c r="E12" s="80">
        <v>0</v>
      </c>
      <c r="F12" s="80">
        <f>210+176</f>
        <v>386</v>
      </c>
      <c r="G12" s="80">
        <f>288+323</f>
        <v>611</v>
      </c>
      <c r="H12" s="80">
        <v>6</v>
      </c>
      <c r="I12" s="35">
        <f t="shared" si="0"/>
        <v>2185</v>
      </c>
      <c r="J12" s="28"/>
    </row>
    <row r="13" spans="1:10" x14ac:dyDescent="0.25">
      <c r="A13" s="16" t="s">
        <v>23</v>
      </c>
      <c r="B13" s="17">
        <v>44454</v>
      </c>
      <c r="C13" s="79">
        <f>217+209</f>
        <v>426</v>
      </c>
      <c r="D13" s="80">
        <f>337+345</f>
        <v>682</v>
      </c>
      <c r="E13" s="80">
        <v>35</v>
      </c>
      <c r="F13" s="80">
        <f>186+193</f>
        <v>379</v>
      </c>
      <c r="G13" s="80">
        <f>321+337</f>
        <v>658</v>
      </c>
      <c r="H13" s="80">
        <v>52</v>
      </c>
      <c r="I13" s="35">
        <f t="shared" si="0"/>
        <v>2232</v>
      </c>
      <c r="J13" s="28"/>
    </row>
    <row r="14" spans="1:10" x14ac:dyDescent="0.25">
      <c r="A14" s="16" t="s">
        <v>24</v>
      </c>
      <c r="B14" s="17">
        <v>44455</v>
      </c>
      <c r="C14" s="79">
        <f>204+186</f>
        <v>390</v>
      </c>
      <c r="D14" s="80">
        <f>314+247</f>
        <v>561</v>
      </c>
      <c r="E14" s="80">
        <v>0</v>
      </c>
      <c r="F14" s="80">
        <f>137+156</f>
        <v>293</v>
      </c>
      <c r="G14" s="80">
        <f>272+279</f>
        <v>551</v>
      </c>
      <c r="H14" s="80">
        <v>0</v>
      </c>
      <c r="I14" s="35">
        <f t="shared" si="0"/>
        <v>1795</v>
      </c>
      <c r="J14" s="28"/>
    </row>
    <row r="15" spans="1:10" x14ac:dyDescent="0.25">
      <c r="A15" s="16" t="s">
        <v>25</v>
      </c>
      <c r="B15" s="17">
        <v>44456</v>
      </c>
      <c r="C15" s="79">
        <f>96+134</f>
        <v>230</v>
      </c>
      <c r="D15" s="80">
        <f>298+241</f>
        <v>539</v>
      </c>
      <c r="E15" s="80">
        <v>0</v>
      </c>
      <c r="F15" s="80">
        <f>118+140</f>
        <v>258</v>
      </c>
      <c r="G15" s="80">
        <f>237+306</f>
        <v>543</v>
      </c>
      <c r="H15" s="80">
        <v>2</v>
      </c>
      <c r="I15" s="35">
        <f t="shared" si="0"/>
        <v>1572</v>
      </c>
      <c r="J15" s="28"/>
    </row>
    <row r="16" spans="1:10" x14ac:dyDescent="0.25">
      <c r="A16" s="16" t="s">
        <v>21</v>
      </c>
      <c r="B16" s="17">
        <v>44459</v>
      </c>
      <c r="C16" s="79">
        <f>224+184</f>
        <v>408</v>
      </c>
      <c r="D16" s="80">
        <f>260+297</f>
        <v>557</v>
      </c>
      <c r="E16" s="80">
        <v>12</v>
      </c>
      <c r="F16" s="80">
        <f>195+158</f>
        <v>353</v>
      </c>
      <c r="G16" s="80">
        <f>309+260</f>
        <v>569</v>
      </c>
      <c r="H16" s="80">
        <v>14</v>
      </c>
      <c r="I16" s="35">
        <f t="shared" si="0"/>
        <v>1913</v>
      </c>
      <c r="J16" s="28"/>
    </row>
    <row r="17" spans="1:10" x14ac:dyDescent="0.25">
      <c r="A17" s="16" t="s">
        <v>22</v>
      </c>
      <c r="B17" s="17">
        <v>44460</v>
      </c>
      <c r="C17" s="79">
        <f>290+252</f>
        <v>542</v>
      </c>
      <c r="D17" s="80">
        <f>370+343</f>
        <v>713</v>
      </c>
      <c r="E17" s="80">
        <v>2</v>
      </c>
      <c r="F17" s="80">
        <f>205+206</f>
        <v>411</v>
      </c>
      <c r="G17" s="80">
        <f>327+291</f>
        <v>618</v>
      </c>
      <c r="H17" s="80">
        <v>29</v>
      </c>
      <c r="I17" s="35">
        <f t="shared" si="0"/>
        <v>2315</v>
      </c>
      <c r="J17" s="28"/>
    </row>
    <row r="18" spans="1:10" x14ac:dyDescent="0.25">
      <c r="A18" s="16" t="s">
        <v>23</v>
      </c>
      <c r="B18" s="17">
        <v>44461</v>
      </c>
      <c r="C18" s="79">
        <f>240+250</f>
        <v>490</v>
      </c>
      <c r="D18" s="80">
        <f>334+335</f>
        <v>669</v>
      </c>
      <c r="E18" s="80">
        <v>0</v>
      </c>
      <c r="F18" s="80">
        <f>229+214</f>
        <v>443</v>
      </c>
      <c r="G18" s="80">
        <f>293+296</f>
        <v>589</v>
      </c>
      <c r="H18" s="80">
        <v>2</v>
      </c>
      <c r="I18" s="35">
        <f t="shared" si="0"/>
        <v>2193</v>
      </c>
      <c r="J18" s="28"/>
    </row>
    <row r="19" spans="1:10" x14ac:dyDescent="0.25">
      <c r="A19" s="16" t="s">
        <v>24</v>
      </c>
      <c r="B19" s="17">
        <v>44462</v>
      </c>
      <c r="C19" s="79">
        <f>232+185</f>
        <v>417</v>
      </c>
      <c r="D19" s="80">
        <f>308+344</f>
        <v>652</v>
      </c>
      <c r="E19" s="80">
        <v>0</v>
      </c>
      <c r="F19" s="80">
        <f>163+169</f>
        <v>332</v>
      </c>
      <c r="G19" s="80">
        <f>279+284</f>
        <v>563</v>
      </c>
      <c r="H19" s="80">
        <v>0</v>
      </c>
      <c r="I19" s="35">
        <f t="shared" si="0"/>
        <v>1964</v>
      </c>
      <c r="J19" s="28"/>
    </row>
    <row r="20" spans="1:10" x14ac:dyDescent="0.25">
      <c r="A20" s="16" t="s">
        <v>25</v>
      </c>
      <c r="B20" s="17">
        <v>44463</v>
      </c>
      <c r="C20" s="79">
        <f>118+170</f>
        <v>288</v>
      </c>
      <c r="D20" s="80">
        <f>283+252</f>
        <v>535</v>
      </c>
      <c r="E20" s="80">
        <v>1</v>
      </c>
      <c r="F20" s="80">
        <f>108+170</f>
        <v>278</v>
      </c>
      <c r="G20" s="80">
        <f>212+255</f>
        <v>467</v>
      </c>
      <c r="H20" s="80">
        <v>0</v>
      </c>
      <c r="I20" s="35">
        <f t="shared" si="0"/>
        <v>1569</v>
      </c>
      <c r="J20" s="28"/>
    </row>
    <row r="21" spans="1:10" x14ac:dyDescent="0.25">
      <c r="A21" s="16" t="s">
        <v>21</v>
      </c>
      <c r="B21" s="17">
        <v>44466</v>
      </c>
      <c r="C21" s="79">
        <f>217+175</f>
        <v>392</v>
      </c>
      <c r="D21" s="80">
        <f>249+301</f>
        <v>550</v>
      </c>
      <c r="E21" s="80">
        <v>0</v>
      </c>
      <c r="F21" s="80">
        <f>178+180</f>
        <v>358</v>
      </c>
      <c r="G21" s="80">
        <f>301+251</f>
        <v>552</v>
      </c>
      <c r="H21" s="80">
        <v>0</v>
      </c>
      <c r="I21" s="35">
        <f t="shared" si="0"/>
        <v>1852</v>
      </c>
      <c r="J21" s="28"/>
    </row>
    <row r="22" spans="1:10" x14ac:dyDescent="0.25">
      <c r="A22" s="16" t="s">
        <v>22</v>
      </c>
      <c r="B22" s="17">
        <v>44467</v>
      </c>
      <c r="C22" s="79">
        <f>259+223</f>
        <v>482</v>
      </c>
      <c r="D22" s="80">
        <f>287+344</f>
        <v>631</v>
      </c>
      <c r="E22" s="80">
        <v>0</v>
      </c>
      <c r="F22" s="80">
        <f>188+195</f>
        <v>383</v>
      </c>
      <c r="G22" s="80">
        <f>296+276</f>
        <v>572</v>
      </c>
      <c r="H22" s="80">
        <v>0</v>
      </c>
      <c r="I22" s="35">
        <f t="shared" si="0"/>
        <v>2068</v>
      </c>
      <c r="J22" s="28"/>
    </row>
    <row r="23" spans="1:10" x14ac:dyDescent="0.25">
      <c r="A23" s="16" t="s">
        <v>23</v>
      </c>
      <c r="B23" s="17">
        <v>44468</v>
      </c>
      <c r="C23" s="79">
        <f>222+210</f>
        <v>432</v>
      </c>
      <c r="D23" s="80">
        <f>322+288</f>
        <v>610</v>
      </c>
      <c r="E23" s="80">
        <v>0</v>
      </c>
      <c r="F23" s="80">
        <f>203+188</f>
        <v>391</v>
      </c>
      <c r="G23" s="80">
        <f>304+300</f>
        <v>604</v>
      </c>
      <c r="H23" s="80">
        <v>0</v>
      </c>
      <c r="I23" s="35">
        <f t="shared" si="0"/>
        <v>2037</v>
      </c>
      <c r="J23" s="28"/>
    </row>
    <row r="24" spans="1:10" x14ac:dyDescent="0.25">
      <c r="A24" s="16" t="s">
        <v>24</v>
      </c>
      <c r="B24" s="17">
        <v>44469</v>
      </c>
      <c r="C24" s="79">
        <f>252+244</f>
        <v>496</v>
      </c>
      <c r="D24" s="80">
        <f>296+305</f>
        <v>601</v>
      </c>
      <c r="E24" s="80">
        <v>0</v>
      </c>
      <c r="F24" s="80">
        <f>174+212</f>
        <v>386</v>
      </c>
      <c r="G24" s="80">
        <f>317+266</f>
        <v>583</v>
      </c>
      <c r="H24" s="80">
        <v>0</v>
      </c>
      <c r="I24" s="35">
        <f t="shared" si="0"/>
        <v>2066</v>
      </c>
      <c r="J24" s="28"/>
    </row>
    <row r="25" spans="1:10" x14ac:dyDescent="0.25">
      <c r="A25" s="114" t="s">
        <v>27</v>
      </c>
      <c r="B25" s="114"/>
      <c r="C25" s="36">
        <f t="shared" ref="C25:I25" si="1">SUM(C3:C24)</f>
        <v>7878</v>
      </c>
      <c r="D25" s="36">
        <f t="shared" si="1"/>
        <v>13185</v>
      </c>
      <c r="E25" s="36">
        <f t="shared" si="1"/>
        <v>507</v>
      </c>
      <c r="F25" s="36">
        <f t="shared" si="1"/>
        <v>6915</v>
      </c>
      <c r="G25" s="36">
        <f t="shared" si="1"/>
        <v>12511</v>
      </c>
      <c r="H25" s="36">
        <f t="shared" si="1"/>
        <v>760</v>
      </c>
      <c r="I25" s="38">
        <f t="shared" si="1"/>
        <v>41756</v>
      </c>
    </row>
    <row r="27" spans="1:10" x14ac:dyDescent="0.25">
      <c r="A27" s="108" t="s">
        <v>86</v>
      </c>
      <c r="B27" s="108"/>
      <c r="C27" s="108" t="s">
        <v>49</v>
      </c>
      <c r="D27" s="108"/>
      <c r="E27" s="108"/>
      <c r="F27" s="108" t="s">
        <v>13</v>
      </c>
      <c r="G27" s="108"/>
      <c r="H27" s="108"/>
      <c r="I27" s="109" t="s">
        <v>7</v>
      </c>
    </row>
    <row r="28" spans="1:10" ht="35.25" customHeight="1" x14ac:dyDescent="0.25">
      <c r="A28" s="32" t="s">
        <v>0</v>
      </c>
      <c r="B28" s="33" t="s">
        <v>1</v>
      </c>
      <c r="C28" s="32" t="s">
        <v>50</v>
      </c>
      <c r="D28" s="32" t="s">
        <v>51</v>
      </c>
      <c r="E28" s="32" t="s">
        <v>52</v>
      </c>
      <c r="F28" s="32" t="s">
        <v>50</v>
      </c>
      <c r="G28" s="32" t="s">
        <v>51</v>
      </c>
      <c r="H28" s="32" t="s">
        <v>52</v>
      </c>
      <c r="I28" s="109"/>
    </row>
    <row r="29" spans="1:10" x14ac:dyDescent="0.25">
      <c r="A29" s="16" t="s">
        <v>26</v>
      </c>
      <c r="B29" s="17">
        <v>44443</v>
      </c>
      <c r="C29" s="79">
        <v>0</v>
      </c>
      <c r="D29" s="80">
        <f>385+117</f>
        <v>502</v>
      </c>
      <c r="E29" s="80">
        <v>455</v>
      </c>
      <c r="F29" s="80">
        <v>0</v>
      </c>
      <c r="G29" s="80">
        <f>243+350</f>
        <v>593</v>
      </c>
      <c r="H29" s="80">
        <v>475</v>
      </c>
      <c r="I29" s="35">
        <f>SUM(C29:H29)</f>
        <v>2025</v>
      </c>
      <c r="J29" s="28"/>
    </row>
    <row r="30" spans="1:10" x14ac:dyDescent="0.25">
      <c r="A30" s="16" t="s">
        <v>20</v>
      </c>
      <c r="B30" s="17">
        <v>44444</v>
      </c>
      <c r="C30" s="79">
        <v>0</v>
      </c>
      <c r="D30" s="80">
        <f>266+183</f>
        <v>449</v>
      </c>
      <c r="E30" s="80">
        <v>135</v>
      </c>
      <c r="F30" s="80">
        <v>0</v>
      </c>
      <c r="G30" s="80">
        <f>343+239</f>
        <v>582</v>
      </c>
      <c r="H30" s="80">
        <v>114</v>
      </c>
      <c r="I30" s="35">
        <f t="shared" ref="I30:I35" si="2">SUM(C30:H30)</f>
        <v>1280</v>
      </c>
      <c r="J30" s="28"/>
    </row>
    <row r="31" spans="1:10" x14ac:dyDescent="0.25">
      <c r="A31" s="16" t="s">
        <v>26</v>
      </c>
      <c r="B31" s="17">
        <v>44450</v>
      </c>
      <c r="C31" s="79">
        <v>0</v>
      </c>
      <c r="D31" s="80">
        <f>331+279</f>
        <v>610</v>
      </c>
      <c r="E31" s="80">
        <v>175</v>
      </c>
      <c r="F31" s="80">
        <v>0</v>
      </c>
      <c r="G31" s="80">
        <f>154+138</f>
        <v>292</v>
      </c>
      <c r="H31" s="80">
        <v>71</v>
      </c>
      <c r="I31" s="35">
        <f t="shared" si="2"/>
        <v>1148</v>
      </c>
      <c r="J31" s="28"/>
    </row>
    <row r="32" spans="1:10" x14ac:dyDescent="0.25">
      <c r="A32" s="16" t="s">
        <v>20</v>
      </c>
      <c r="B32" s="17">
        <v>44451</v>
      </c>
      <c r="C32" s="79">
        <v>0</v>
      </c>
      <c r="D32" s="80">
        <f>224+222</f>
        <v>446</v>
      </c>
      <c r="E32" s="80">
        <v>388</v>
      </c>
      <c r="F32" s="80">
        <v>0</v>
      </c>
      <c r="G32" s="80">
        <f>369+163</f>
        <v>532</v>
      </c>
      <c r="H32" s="80">
        <v>427</v>
      </c>
      <c r="I32" s="35">
        <f t="shared" si="2"/>
        <v>1793</v>
      </c>
      <c r="J32" s="28"/>
    </row>
    <row r="33" spans="1:13" x14ac:dyDescent="0.25">
      <c r="A33" s="16" t="s">
        <v>26</v>
      </c>
      <c r="B33" s="17">
        <v>44457</v>
      </c>
      <c r="C33" s="79">
        <v>0</v>
      </c>
      <c r="D33" s="80">
        <f>355+236</f>
        <v>591</v>
      </c>
      <c r="E33" s="80">
        <v>225</v>
      </c>
      <c r="F33" s="80">
        <v>0</v>
      </c>
      <c r="G33" s="80">
        <f>258+248</f>
        <v>506</v>
      </c>
      <c r="H33" s="80">
        <v>174</v>
      </c>
      <c r="I33" s="35">
        <f t="shared" si="2"/>
        <v>1496</v>
      </c>
      <c r="J33" s="28"/>
    </row>
    <row r="34" spans="1:13" x14ac:dyDescent="0.25">
      <c r="A34" s="16" t="s">
        <v>20</v>
      </c>
      <c r="B34" s="17">
        <v>44458</v>
      </c>
      <c r="C34" s="79">
        <v>0</v>
      </c>
      <c r="D34" s="80">
        <f>251+240</f>
        <v>491</v>
      </c>
      <c r="E34" s="80">
        <v>231</v>
      </c>
      <c r="F34" s="80">
        <v>0</v>
      </c>
      <c r="G34" s="80">
        <f>405+252</f>
        <v>657</v>
      </c>
      <c r="H34" s="80">
        <v>255</v>
      </c>
      <c r="I34" s="35">
        <f t="shared" si="2"/>
        <v>1634</v>
      </c>
      <c r="J34" s="77"/>
    </row>
    <row r="35" spans="1:13" x14ac:dyDescent="0.25">
      <c r="A35" s="16" t="s">
        <v>26</v>
      </c>
      <c r="B35" s="17">
        <v>44464</v>
      </c>
      <c r="C35" s="79">
        <v>0</v>
      </c>
      <c r="D35" s="80">
        <f>276+293</f>
        <v>569</v>
      </c>
      <c r="E35" s="80">
        <v>109</v>
      </c>
      <c r="F35" s="80">
        <v>0</v>
      </c>
      <c r="G35" s="80">
        <f>232+262</f>
        <v>494</v>
      </c>
      <c r="H35" s="80">
        <v>69</v>
      </c>
      <c r="I35" s="35">
        <f t="shared" si="2"/>
        <v>1241</v>
      </c>
      <c r="J35" s="28"/>
    </row>
    <row r="36" spans="1:13" x14ac:dyDescent="0.25">
      <c r="A36" s="16" t="s">
        <v>20</v>
      </c>
      <c r="B36" s="17">
        <v>44465</v>
      </c>
      <c r="C36" s="79">
        <v>0</v>
      </c>
      <c r="D36" s="80">
        <f>343+279</f>
        <v>622</v>
      </c>
      <c r="E36" s="80">
        <v>84</v>
      </c>
      <c r="F36" s="80">
        <v>0</v>
      </c>
      <c r="G36" s="80">
        <f>371+193</f>
        <v>564</v>
      </c>
      <c r="H36" s="80">
        <v>121</v>
      </c>
      <c r="I36" s="35">
        <f>SUM(C36:H36)</f>
        <v>1391</v>
      </c>
      <c r="J36" s="28"/>
    </row>
    <row r="37" spans="1:13" x14ac:dyDescent="0.25">
      <c r="A37" s="114" t="s">
        <v>27</v>
      </c>
      <c r="B37" s="114"/>
      <c r="C37" s="37">
        <f>SUM(C29:C36)</f>
        <v>0</v>
      </c>
      <c r="D37" s="37">
        <f t="shared" ref="D37:I37" si="3">SUM(D29:D36)</f>
        <v>4280</v>
      </c>
      <c r="E37" s="37">
        <f t="shared" si="3"/>
        <v>1802</v>
      </c>
      <c r="F37" s="37">
        <f t="shared" si="3"/>
        <v>0</v>
      </c>
      <c r="G37" s="37">
        <f t="shared" si="3"/>
        <v>4220</v>
      </c>
      <c r="H37" s="37">
        <f t="shared" si="3"/>
        <v>1706</v>
      </c>
      <c r="I37" s="61">
        <f t="shared" si="3"/>
        <v>12008</v>
      </c>
    </row>
    <row r="39" spans="1:13" ht="30" x14ac:dyDescent="0.25">
      <c r="C39" s="102" t="s">
        <v>89</v>
      </c>
      <c r="D39" s="102"/>
      <c r="E39" s="102"/>
      <c r="F39" s="102"/>
      <c r="H39" s="112" t="s">
        <v>63</v>
      </c>
      <c r="I39" s="58" t="s">
        <v>8</v>
      </c>
      <c r="J39" s="58" t="s">
        <v>64</v>
      </c>
      <c r="K39" s="59" t="s">
        <v>31</v>
      </c>
      <c r="L39" s="60" t="s">
        <v>13</v>
      </c>
      <c r="M39" s="46" t="s">
        <v>7</v>
      </c>
    </row>
    <row r="40" spans="1:13" x14ac:dyDescent="0.25">
      <c r="C40" s="105" t="s">
        <v>7</v>
      </c>
      <c r="D40" s="105"/>
      <c r="E40" s="105"/>
      <c r="F40" s="22">
        <f>I25+I37</f>
        <v>53764</v>
      </c>
      <c r="H40" s="113"/>
      <c r="I40" s="42">
        <v>0</v>
      </c>
      <c r="J40" s="42">
        <f>SUM(C37:E37,C25:E25)</f>
        <v>27652</v>
      </c>
      <c r="K40" s="44">
        <v>0</v>
      </c>
      <c r="L40" s="44">
        <f>SUM(F25:H25,F37:H37)</f>
        <v>26112</v>
      </c>
      <c r="M40" s="47">
        <f>SUM(I40:L40)</f>
        <v>53764</v>
      </c>
    </row>
    <row r="41" spans="1:13" x14ac:dyDescent="0.25">
      <c r="C41" s="105" t="s">
        <v>84</v>
      </c>
      <c r="D41" s="105"/>
      <c r="E41" s="105"/>
      <c r="F41" s="22">
        <f>I25</f>
        <v>41756</v>
      </c>
    </row>
    <row r="42" spans="1:13" x14ac:dyDescent="0.25">
      <c r="C42" s="105" t="s">
        <v>67</v>
      </c>
      <c r="D42" s="105"/>
      <c r="E42" s="105"/>
      <c r="F42" s="22">
        <f>AVERAGE(I3:I24)</f>
        <v>1898</v>
      </c>
    </row>
  </sheetData>
  <mergeCells count="15">
    <mergeCell ref="C42:E42"/>
    <mergeCell ref="A27:B27"/>
    <mergeCell ref="C27:E27"/>
    <mergeCell ref="F27:H27"/>
    <mergeCell ref="I27:I28"/>
    <mergeCell ref="H39:H40"/>
    <mergeCell ref="A37:B37"/>
    <mergeCell ref="C39:F39"/>
    <mergeCell ref="C40:E40"/>
    <mergeCell ref="C41:E41"/>
    <mergeCell ref="A25:B25"/>
    <mergeCell ref="C1:E1"/>
    <mergeCell ref="F1:H1"/>
    <mergeCell ref="I1:I2"/>
    <mergeCell ref="A1:B1"/>
  </mergeCells>
  <pageMargins left="0.7" right="0.7" top="0.75" bottom="0.75" header="0.3" footer="0.3"/>
  <pageSetup orientation="portrait" r:id="rId1"/>
  <ignoredErrors>
    <ignoredError sqref="I3:I7 I8:I9 I13:I17 I18:I22 I23:I24 I29:I36 I11:I1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workbookViewId="0">
      <selection activeCell="D38" sqref="D38"/>
    </sheetView>
  </sheetViews>
  <sheetFormatPr defaultRowHeight="15" x14ac:dyDescent="0.25"/>
  <cols>
    <col min="1" max="1" width="11.7109375" style="2" bestFit="1" customWidth="1"/>
    <col min="2" max="3" width="9.140625" style="2"/>
    <col min="4" max="4" width="13.7109375" style="2" customWidth="1"/>
    <col min="5" max="6" width="9.140625" style="2"/>
    <col min="7" max="7" width="12.28515625" style="2" customWidth="1"/>
    <col min="8" max="16384" width="9.140625" style="2"/>
  </cols>
  <sheetData>
    <row r="1" spans="1:5" ht="15" customHeight="1" x14ac:dyDescent="0.25">
      <c r="A1" s="108" t="s">
        <v>68</v>
      </c>
      <c r="B1" s="108"/>
      <c r="C1" s="108" t="s">
        <v>53</v>
      </c>
      <c r="D1" s="108"/>
      <c r="E1" s="109" t="s">
        <v>7</v>
      </c>
    </row>
    <row r="2" spans="1:5" ht="43.5" customHeight="1" x14ac:dyDescent="0.25">
      <c r="A2" s="32" t="s">
        <v>0</v>
      </c>
      <c r="B2" s="33" t="s">
        <v>1</v>
      </c>
      <c r="C2" s="32" t="s">
        <v>54</v>
      </c>
      <c r="D2" s="32" t="s">
        <v>90</v>
      </c>
      <c r="E2" s="109"/>
    </row>
    <row r="3" spans="1:5" x14ac:dyDescent="0.25">
      <c r="A3" s="16" t="s">
        <v>23</v>
      </c>
      <c r="B3" s="17">
        <v>44440</v>
      </c>
      <c r="C3" s="53">
        <v>147</v>
      </c>
      <c r="D3" s="53">
        <v>184</v>
      </c>
      <c r="E3" s="18">
        <f t="shared" ref="E3:E24" si="0">SUM(C3:D3)</f>
        <v>331</v>
      </c>
    </row>
    <row r="4" spans="1:5" x14ac:dyDescent="0.25">
      <c r="A4" s="16" t="s">
        <v>24</v>
      </c>
      <c r="B4" s="17">
        <v>44441</v>
      </c>
      <c r="C4" s="53">
        <v>166</v>
      </c>
      <c r="D4" s="53">
        <v>250</v>
      </c>
      <c r="E4" s="18">
        <f t="shared" si="0"/>
        <v>416</v>
      </c>
    </row>
    <row r="5" spans="1:5" x14ac:dyDescent="0.25">
      <c r="A5" s="16" t="s">
        <v>25</v>
      </c>
      <c r="B5" s="17">
        <v>44442</v>
      </c>
      <c r="C5" s="53">
        <v>139</v>
      </c>
      <c r="D5" s="53">
        <v>122</v>
      </c>
      <c r="E5" s="18">
        <f t="shared" si="0"/>
        <v>261</v>
      </c>
    </row>
    <row r="6" spans="1:5" x14ac:dyDescent="0.25">
      <c r="A6" s="16" t="s">
        <v>21</v>
      </c>
      <c r="B6" s="17">
        <v>44445</v>
      </c>
      <c r="C6" s="53">
        <v>0</v>
      </c>
      <c r="D6" s="53">
        <v>0</v>
      </c>
      <c r="E6" s="18">
        <f t="shared" si="0"/>
        <v>0</v>
      </c>
    </row>
    <row r="7" spans="1:5" x14ac:dyDescent="0.25">
      <c r="A7" s="16" t="s">
        <v>22</v>
      </c>
      <c r="B7" s="17">
        <v>44446</v>
      </c>
      <c r="C7" s="53">
        <v>154</v>
      </c>
      <c r="D7" s="53">
        <v>140</v>
      </c>
      <c r="E7" s="18">
        <f t="shared" si="0"/>
        <v>294</v>
      </c>
    </row>
    <row r="8" spans="1:5" x14ac:dyDescent="0.25">
      <c r="A8" s="16" t="s">
        <v>23</v>
      </c>
      <c r="B8" s="17">
        <v>44447</v>
      </c>
      <c r="C8" s="53">
        <v>178</v>
      </c>
      <c r="D8" s="53">
        <v>165</v>
      </c>
      <c r="E8" s="18">
        <f t="shared" si="0"/>
        <v>343</v>
      </c>
    </row>
    <row r="9" spans="1:5" x14ac:dyDescent="0.25">
      <c r="A9" s="16" t="s">
        <v>24</v>
      </c>
      <c r="B9" s="17">
        <v>44448</v>
      </c>
      <c r="C9" s="53">
        <v>154</v>
      </c>
      <c r="D9" s="53">
        <v>144</v>
      </c>
      <c r="E9" s="18">
        <f t="shared" si="0"/>
        <v>298</v>
      </c>
    </row>
    <row r="10" spans="1:5" x14ac:dyDescent="0.25">
      <c r="A10" s="16" t="s">
        <v>25</v>
      </c>
      <c r="B10" s="17">
        <v>44449</v>
      </c>
      <c r="C10" s="53">
        <v>160</v>
      </c>
      <c r="D10" s="53">
        <v>137</v>
      </c>
      <c r="E10" s="18">
        <f t="shared" si="0"/>
        <v>297</v>
      </c>
    </row>
    <row r="11" spans="1:5" x14ac:dyDescent="0.25">
      <c r="A11" s="16" t="s">
        <v>21</v>
      </c>
      <c r="B11" s="17">
        <v>44452</v>
      </c>
      <c r="C11" s="53">
        <v>180</v>
      </c>
      <c r="D11" s="53">
        <v>157</v>
      </c>
      <c r="E11" s="18">
        <f t="shared" si="0"/>
        <v>337</v>
      </c>
    </row>
    <row r="12" spans="1:5" x14ac:dyDescent="0.25">
      <c r="A12" s="16" t="s">
        <v>22</v>
      </c>
      <c r="B12" s="17">
        <v>44453</v>
      </c>
      <c r="C12" s="53">
        <v>181</v>
      </c>
      <c r="D12" s="53">
        <v>173</v>
      </c>
      <c r="E12" s="18">
        <f t="shared" si="0"/>
        <v>354</v>
      </c>
    </row>
    <row r="13" spans="1:5" x14ac:dyDescent="0.25">
      <c r="A13" s="16" t="s">
        <v>23</v>
      </c>
      <c r="B13" s="17">
        <v>44454</v>
      </c>
      <c r="C13" s="53">
        <v>166</v>
      </c>
      <c r="D13" s="53">
        <v>154</v>
      </c>
      <c r="E13" s="18">
        <f t="shared" si="0"/>
        <v>320</v>
      </c>
    </row>
    <row r="14" spans="1:5" x14ac:dyDescent="0.25">
      <c r="A14" s="16" t="s">
        <v>24</v>
      </c>
      <c r="B14" s="17">
        <v>44455</v>
      </c>
      <c r="C14" s="53">
        <v>151</v>
      </c>
      <c r="D14" s="53">
        <v>147</v>
      </c>
      <c r="E14" s="18">
        <f t="shared" si="0"/>
        <v>298</v>
      </c>
    </row>
    <row r="15" spans="1:5" x14ac:dyDescent="0.25">
      <c r="A15" s="16" t="s">
        <v>25</v>
      </c>
      <c r="B15" s="17">
        <v>44456</v>
      </c>
      <c r="C15" s="53">
        <v>151</v>
      </c>
      <c r="D15" s="53">
        <v>141</v>
      </c>
      <c r="E15" s="18">
        <f t="shared" si="0"/>
        <v>292</v>
      </c>
    </row>
    <row r="16" spans="1:5" x14ac:dyDescent="0.25">
      <c r="A16" s="16" t="s">
        <v>21</v>
      </c>
      <c r="B16" s="17">
        <v>44459</v>
      </c>
      <c r="C16" s="53">
        <v>172</v>
      </c>
      <c r="D16" s="53">
        <v>164</v>
      </c>
      <c r="E16" s="18">
        <f t="shared" si="0"/>
        <v>336</v>
      </c>
    </row>
    <row r="17" spans="1:5" x14ac:dyDescent="0.25">
      <c r="A17" s="16" t="s">
        <v>22</v>
      </c>
      <c r="B17" s="17">
        <v>44460</v>
      </c>
      <c r="C17" s="53">
        <v>187</v>
      </c>
      <c r="D17" s="53">
        <v>171</v>
      </c>
      <c r="E17" s="18">
        <f t="shared" si="0"/>
        <v>358</v>
      </c>
    </row>
    <row r="18" spans="1:5" x14ac:dyDescent="0.25">
      <c r="A18" s="16" t="s">
        <v>23</v>
      </c>
      <c r="B18" s="17">
        <v>44461</v>
      </c>
      <c r="C18" s="53">
        <v>188</v>
      </c>
      <c r="D18" s="53">
        <v>171</v>
      </c>
      <c r="E18" s="18">
        <f t="shared" si="0"/>
        <v>359</v>
      </c>
    </row>
    <row r="19" spans="1:5" x14ac:dyDescent="0.25">
      <c r="A19" s="16" t="s">
        <v>24</v>
      </c>
      <c r="B19" s="17">
        <v>44462</v>
      </c>
      <c r="C19" s="53">
        <v>189</v>
      </c>
      <c r="D19" s="53">
        <v>180</v>
      </c>
      <c r="E19" s="18">
        <f t="shared" si="0"/>
        <v>369</v>
      </c>
    </row>
    <row r="20" spans="1:5" x14ac:dyDescent="0.25">
      <c r="A20" s="16" t="s">
        <v>25</v>
      </c>
      <c r="B20" s="17">
        <v>44463</v>
      </c>
      <c r="C20" s="53">
        <v>153</v>
      </c>
      <c r="D20" s="53">
        <v>148</v>
      </c>
      <c r="E20" s="18">
        <f t="shared" si="0"/>
        <v>301</v>
      </c>
    </row>
    <row r="21" spans="1:5" x14ac:dyDescent="0.25">
      <c r="A21" s="16" t="s">
        <v>21</v>
      </c>
      <c r="B21" s="17">
        <v>44466</v>
      </c>
      <c r="C21" s="53">
        <v>184</v>
      </c>
      <c r="D21" s="53">
        <v>163</v>
      </c>
      <c r="E21" s="18">
        <f t="shared" si="0"/>
        <v>347</v>
      </c>
    </row>
    <row r="22" spans="1:5" x14ac:dyDescent="0.25">
      <c r="A22" s="16" t="s">
        <v>22</v>
      </c>
      <c r="B22" s="17">
        <v>44467</v>
      </c>
      <c r="C22" s="19">
        <v>175</v>
      </c>
      <c r="D22" s="19">
        <v>172</v>
      </c>
      <c r="E22" s="18">
        <f t="shared" si="0"/>
        <v>347</v>
      </c>
    </row>
    <row r="23" spans="1:5" x14ac:dyDescent="0.25">
      <c r="A23" s="16" t="s">
        <v>23</v>
      </c>
      <c r="B23" s="17">
        <v>44468</v>
      </c>
      <c r="C23" s="18">
        <v>197</v>
      </c>
      <c r="D23" s="18">
        <v>187</v>
      </c>
      <c r="E23" s="18">
        <f t="shared" si="0"/>
        <v>384</v>
      </c>
    </row>
    <row r="24" spans="1:5" x14ac:dyDescent="0.25">
      <c r="A24" s="16" t="s">
        <v>24</v>
      </c>
      <c r="B24" s="17">
        <v>44469</v>
      </c>
      <c r="C24" s="18">
        <v>172</v>
      </c>
      <c r="D24" s="18">
        <v>158</v>
      </c>
      <c r="E24" s="18">
        <f t="shared" si="0"/>
        <v>330</v>
      </c>
    </row>
    <row r="25" spans="1:5" x14ac:dyDescent="0.25">
      <c r="A25" s="92" t="s">
        <v>27</v>
      </c>
      <c r="B25" s="92"/>
      <c r="C25" s="38">
        <f>SUM(C3:C24)</f>
        <v>3544</v>
      </c>
      <c r="D25" s="38">
        <f>SUM(D3:D24)</f>
        <v>3428</v>
      </c>
      <c r="E25" s="38">
        <f>SUM(E3:E24)</f>
        <v>6972</v>
      </c>
    </row>
    <row r="28" spans="1:5" x14ac:dyDescent="0.25">
      <c r="A28" s="108" t="s">
        <v>86</v>
      </c>
      <c r="B28" s="108"/>
      <c r="C28" s="108" t="s">
        <v>53</v>
      </c>
      <c r="D28" s="108"/>
      <c r="E28" s="109" t="s">
        <v>7</v>
      </c>
    </row>
    <row r="29" spans="1:5" ht="39" customHeight="1" x14ac:dyDescent="0.25">
      <c r="A29" s="32" t="s">
        <v>0</v>
      </c>
      <c r="B29" s="33" t="s">
        <v>1</v>
      </c>
      <c r="C29" s="32" t="s">
        <v>54</v>
      </c>
      <c r="D29" s="32" t="s">
        <v>90</v>
      </c>
      <c r="E29" s="109"/>
    </row>
    <row r="30" spans="1:5" x14ac:dyDescent="0.25">
      <c r="A30" s="16" t="s">
        <v>26</v>
      </c>
      <c r="B30" s="17">
        <v>44443</v>
      </c>
      <c r="C30" s="53">
        <v>0</v>
      </c>
      <c r="D30" s="53">
        <v>0</v>
      </c>
      <c r="E30" s="18">
        <f t="shared" ref="E30:E37" si="1">SUM(C30:D30)</f>
        <v>0</v>
      </c>
    </row>
    <row r="31" spans="1:5" x14ac:dyDescent="0.25">
      <c r="A31" s="16" t="s">
        <v>20</v>
      </c>
      <c r="B31" s="17">
        <v>44444</v>
      </c>
      <c r="C31" s="19">
        <v>0</v>
      </c>
      <c r="D31" s="19">
        <v>0</v>
      </c>
      <c r="E31" s="18">
        <f t="shared" si="1"/>
        <v>0</v>
      </c>
    </row>
    <row r="32" spans="1:5" x14ac:dyDescent="0.25">
      <c r="A32" s="16" t="s">
        <v>26</v>
      </c>
      <c r="B32" s="17">
        <v>44450</v>
      </c>
      <c r="C32" s="53">
        <v>0</v>
      </c>
      <c r="D32" s="53">
        <v>0</v>
      </c>
      <c r="E32" s="18">
        <f t="shared" si="1"/>
        <v>0</v>
      </c>
    </row>
    <row r="33" spans="1:12" x14ac:dyDescent="0.25">
      <c r="A33" s="16" t="s">
        <v>20</v>
      </c>
      <c r="B33" s="17">
        <v>44451</v>
      </c>
      <c r="C33" s="19">
        <v>0</v>
      </c>
      <c r="D33" s="19">
        <v>0</v>
      </c>
      <c r="E33" s="18">
        <f t="shared" si="1"/>
        <v>0</v>
      </c>
    </row>
    <row r="34" spans="1:12" x14ac:dyDescent="0.25">
      <c r="A34" s="16" t="s">
        <v>26</v>
      </c>
      <c r="B34" s="17">
        <v>44457</v>
      </c>
      <c r="C34" s="53">
        <v>0</v>
      </c>
      <c r="D34" s="53">
        <v>0</v>
      </c>
      <c r="E34" s="18">
        <f t="shared" si="1"/>
        <v>0</v>
      </c>
    </row>
    <row r="35" spans="1:12" x14ac:dyDescent="0.25">
      <c r="A35" s="16" t="s">
        <v>20</v>
      </c>
      <c r="B35" s="17">
        <v>44458</v>
      </c>
      <c r="C35" s="53">
        <v>0</v>
      </c>
      <c r="D35" s="53">
        <v>0</v>
      </c>
      <c r="E35" s="18">
        <f t="shared" si="1"/>
        <v>0</v>
      </c>
    </row>
    <row r="36" spans="1:12" x14ac:dyDescent="0.25">
      <c r="A36" s="16" t="s">
        <v>26</v>
      </c>
      <c r="B36" s="17">
        <v>44464</v>
      </c>
      <c r="C36" s="53">
        <v>0</v>
      </c>
      <c r="D36" s="53">
        <v>0</v>
      </c>
      <c r="E36" s="18">
        <f t="shared" si="1"/>
        <v>0</v>
      </c>
    </row>
    <row r="37" spans="1:12" x14ac:dyDescent="0.25">
      <c r="A37" s="16" t="s">
        <v>20</v>
      </c>
      <c r="B37" s="17">
        <v>44465</v>
      </c>
      <c r="C37" s="53">
        <v>0</v>
      </c>
      <c r="D37" s="53">
        <v>0</v>
      </c>
      <c r="E37" s="18">
        <f t="shared" si="1"/>
        <v>0</v>
      </c>
    </row>
    <row r="38" spans="1:12" x14ac:dyDescent="0.25">
      <c r="A38" s="92" t="s">
        <v>27</v>
      </c>
      <c r="B38" s="92"/>
      <c r="C38" s="38">
        <f>SUM(C30:C37)</f>
        <v>0</v>
      </c>
      <c r="D38" s="38">
        <f>SUM(D30:D37)</f>
        <v>0</v>
      </c>
      <c r="E38" s="38">
        <f>SUM(E30:E37)</f>
        <v>0</v>
      </c>
    </row>
    <row r="41" spans="1:12" ht="30" x14ac:dyDescent="0.25">
      <c r="B41" s="102" t="s">
        <v>91</v>
      </c>
      <c r="C41" s="102"/>
      <c r="D41" s="102"/>
      <c r="E41" s="102"/>
      <c r="G41" s="112" t="s">
        <v>63</v>
      </c>
      <c r="H41" s="58" t="s">
        <v>8</v>
      </c>
      <c r="I41" s="58" t="s">
        <v>64</v>
      </c>
      <c r="J41" s="59" t="s">
        <v>31</v>
      </c>
      <c r="K41" s="60" t="s">
        <v>13</v>
      </c>
      <c r="L41" s="46" t="s">
        <v>7</v>
      </c>
    </row>
    <row r="42" spans="1:12" x14ac:dyDescent="0.25">
      <c r="B42" s="105" t="s">
        <v>7</v>
      </c>
      <c r="C42" s="105"/>
      <c r="D42" s="105"/>
      <c r="E42" s="22">
        <f>E25+E38</f>
        <v>6972</v>
      </c>
      <c r="G42" s="113"/>
      <c r="H42" s="42">
        <v>0</v>
      </c>
      <c r="I42" s="42">
        <v>0</v>
      </c>
      <c r="J42" s="44">
        <v>0</v>
      </c>
      <c r="K42" s="44">
        <f>C25</f>
        <v>3544</v>
      </c>
      <c r="L42" s="47">
        <f>SUM(H42:K42)</f>
        <v>3544</v>
      </c>
    </row>
    <row r="43" spans="1:12" x14ac:dyDescent="0.25">
      <c r="B43" s="105" t="s">
        <v>84</v>
      </c>
      <c r="C43" s="105"/>
      <c r="D43" s="105"/>
      <c r="E43" s="22">
        <f>E25</f>
        <v>6972</v>
      </c>
    </row>
    <row r="44" spans="1:12" x14ac:dyDescent="0.25">
      <c r="B44" s="105" t="s">
        <v>67</v>
      </c>
      <c r="C44" s="105"/>
      <c r="D44" s="105"/>
      <c r="E44" s="22">
        <f>AVERAGE(E3:E24)</f>
        <v>316.90909090909093</v>
      </c>
    </row>
  </sheetData>
  <mergeCells count="13">
    <mergeCell ref="B44:D44"/>
    <mergeCell ref="A38:B38"/>
    <mergeCell ref="G41:G42"/>
    <mergeCell ref="B41:E41"/>
    <mergeCell ref="B42:D42"/>
    <mergeCell ref="B43:D43"/>
    <mergeCell ref="C1:D1"/>
    <mergeCell ref="E1:E2"/>
    <mergeCell ref="A1:B1"/>
    <mergeCell ref="A25:B25"/>
    <mergeCell ref="A28:B28"/>
    <mergeCell ref="C28:D28"/>
    <mergeCell ref="E28:E29"/>
  </mergeCells>
  <pageMargins left="0.7" right="0.7" top="0.75" bottom="0.75" header="0.3" footer="0.3"/>
  <pageSetup orientation="portrait" r:id="rId1"/>
  <ignoredErrors>
    <ignoredError sqref="E3:E7 E8:E12 E13:E17 E18:E22 E23:E24 E30:E3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>
      <selection activeCell="C37" sqref="C37"/>
    </sheetView>
  </sheetViews>
  <sheetFormatPr defaultRowHeight="15" x14ac:dyDescent="0.25"/>
  <cols>
    <col min="1" max="1" width="11.7109375" style="2" bestFit="1" customWidth="1"/>
    <col min="2" max="2" width="9.140625" style="2"/>
    <col min="3" max="3" width="19.85546875" style="2" customWidth="1"/>
    <col min="4" max="4" width="19.5703125" style="2" bestFit="1" customWidth="1"/>
    <col min="5" max="5" width="13" style="2" customWidth="1"/>
    <col min="6" max="16384" width="9.140625" style="2"/>
  </cols>
  <sheetData>
    <row r="1" spans="1:4" ht="36.75" customHeight="1" x14ac:dyDescent="0.25">
      <c r="A1" s="108" t="s">
        <v>68</v>
      </c>
      <c r="B1" s="108"/>
      <c r="C1" s="31" t="s">
        <v>55</v>
      </c>
    </row>
    <row r="2" spans="1:4" ht="41.25" customHeight="1" x14ac:dyDescent="0.25">
      <c r="A2" s="32" t="s">
        <v>0</v>
      </c>
      <c r="B2" s="33" t="s">
        <v>1</v>
      </c>
      <c r="C2" s="32" t="s">
        <v>56</v>
      </c>
    </row>
    <row r="3" spans="1:4" x14ac:dyDescent="0.25">
      <c r="A3" s="16" t="s">
        <v>23</v>
      </c>
      <c r="B3" s="67">
        <v>44440</v>
      </c>
      <c r="C3" s="54">
        <v>203</v>
      </c>
      <c r="D3" s="27"/>
    </row>
    <row r="4" spans="1:4" x14ac:dyDescent="0.25">
      <c r="A4" s="16" t="s">
        <v>24</v>
      </c>
      <c r="B4" s="67">
        <v>44441</v>
      </c>
      <c r="C4" s="54">
        <v>413</v>
      </c>
      <c r="D4" s="27"/>
    </row>
    <row r="5" spans="1:4" x14ac:dyDescent="0.25">
      <c r="A5" s="16" t="s">
        <v>25</v>
      </c>
      <c r="B5" s="67">
        <v>44442</v>
      </c>
      <c r="C5" s="54">
        <v>532</v>
      </c>
      <c r="D5" s="27"/>
    </row>
    <row r="6" spans="1:4" x14ac:dyDescent="0.25">
      <c r="A6" s="16" t="s">
        <v>21</v>
      </c>
      <c r="B6" s="67">
        <v>44445</v>
      </c>
      <c r="C6" s="54">
        <v>114</v>
      </c>
      <c r="D6" s="28"/>
    </row>
    <row r="7" spans="1:4" x14ac:dyDescent="0.25">
      <c r="A7" s="16" t="s">
        <v>22</v>
      </c>
      <c r="B7" s="67">
        <v>44446</v>
      </c>
      <c r="C7" s="54">
        <v>374</v>
      </c>
      <c r="D7" s="28"/>
    </row>
    <row r="8" spans="1:4" x14ac:dyDescent="0.25">
      <c r="A8" s="16" t="s">
        <v>23</v>
      </c>
      <c r="B8" s="67">
        <v>44447</v>
      </c>
      <c r="C8" s="54">
        <v>430</v>
      </c>
      <c r="D8" s="28"/>
    </row>
    <row r="9" spans="1:4" x14ac:dyDescent="0.25">
      <c r="A9" s="16" t="s">
        <v>24</v>
      </c>
      <c r="B9" s="67">
        <v>44448</v>
      </c>
      <c r="C9" s="54">
        <v>333</v>
      </c>
      <c r="D9" s="28"/>
    </row>
    <row r="10" spans="1:4" x14ac:dyDescent="0.25">
      <c r="A10" s="16" t="s">
        <v>25</v>
      </c>
      <c r="B10" s="67">
        <v>44449</v>
      </c>
      <c r="C10" s="54">
        <v>464</v>
      </c>
      <c r="D10" s="28"/>
    </row>
    <row r="11" spans="1:4" x14ac:dyDescent="0.25">
      <c r="A11" s="16" t="s">
        <v>21</v>
      </c>
      <c r="B11" s="67">
        <v>44452</v>
      </c>
      <c r="C11" s="54">
        <v>420</v>
      </c>
      <c r="D11" s="28"/>
    </row>
    <row r="12" spans="1:4" x14ac:dyDescent="0.25">
      <c r="A12" s="16" t="s">
        <v>22</v>
      </c>
      <c r="B12" s="67">
        <v>44453</v>
      </c>
      <c r="C12" s="54">
        <v>457</v>
      </c>
      <c r="D12" s="28"/>
    </row>
    <row r="13" spans="1:4" x14ac:dyDescent="0.25">
      <c r="A13" s="16" t="s">
        <v>23</v>
      </c>
      <c r="B13" s="67">
        <v>44454</v>
      </c>
      <c r="C13" s="54">
        <v>416</v>
      </c>
      <c r="D13" s="28"/>
    </row>
    <row r="14" spans="1:4" x14ac:dyDescent="0.25">
      <c r="A14" s="16" t="s">
        <v>24</v>
      </c>
      <c r="B14" s="67">
        <v>44455</v>
      </c>
      <c r="C14" s="54">
        <v>432</v>
      </c>
      <c r="D14" s="28"/>
    </row>
    <row r="15" spans="1:4" x14ac:dyDescent="0.25">
      <c r="A15" s="16" t="s">
        <v>25</v>
      </c>
      <c r="B15" s="67">
        <v>44456</v>
      </c>
      <c r="C15" s="54">
        <v>410</v>
      </c>
      <c r="D15" s="28"/>
    </row>
    <row r="16" spans="1:4" x14ac:dyDescent="0.25">
      <c r="A16" s="16" t="s">
        <v>21</v>
      </c>
      <c r="B16" s="67">
        <v>44459</v>
      </c>
      <c r="C16" s="76">
        <v>385</v>
      </c>
      <c r="D16" s="28"/>
    </row>
    <row r="17" spans="1:4" x14ac:dyDescent="0.25">
      <c r="A17" s="16" t="s">
        <v>22</v>
      </c>
      <c r="B17" s="67">
        <v>44460</v>
      </c>
      <c r="C17" s="76">
        <v>483</v>
      </c>
      <c r="D17" s="28"/>
    </row>
    <row r="18" spans="1:4" x14ac:dyDescent="0.25">
      <c r="A18" s="16" t="s">
        <v>23</v>
      </c>
      <c r="B18" s="67">
        <v>44461</v>
      </c>
      <c r="C18" s="76">
        <v>474</v>
      </c>
      <c r="D18" s="28"/>
    </row>
    <row r="19" spans="1:4" x14ac:dyDescent="0.25">
      <c r="A19" s="16" t="s">
        <v>24</v>
      </c>
      <c r="B19" s="67">
        <v>44462</v>
      </c>
      <c r="C19" s="76">
        <v>394</v>
      </c>
      <c r="D19" s="28"/>
    </row>
    <row r="20" spans="1:4" x14ac:dyDescent="0.25">
      <c r="A20" s="16" t="s">
        <v>25</v>
      </c>
      <c r="B20" s="67">
        <v>44463</v>
      </c>
      <c r="C20" s="76">
        <v>446</v>
      </c>
      <c r="D20" s="28"/>
    </row>
    <row r="21" spans="1:4" x14ac:dyDescent="0.25">
      <c r="A21" s="16" t="s">
        <v>21</v>
      </c>
      <c r="B21" s="67">
        <v>44466</v>
      </c>
      <c r="C21" s="78">
        <v>389</v>
      </c>
      <c r="D21" s="28"/>
    </row>
    <row r="22" spans="1:4" x14ac:dyDescent="0.25">
      <c r="A22" s="16" t="s">
        <v>22</v>
      </c>
      <c r="B22" s="67">
        <v>44467</v>
      </c>
      <c r="C22" s="78">
        <v>364</v>
      </c>
      <c r="D22" s="28"/>
    </row>
    <row r="23" spans="1:4" x14ac:dyDescent="0.25">
      <c r="A23" s="16" t="s">
        <v>23</v>
      </c>
      <c r="B23" s="67">
        <v>44468</v>
      </c>
      <c r="C23" s="76">
        <v>0</v>
      </c>
      <c r="D23" s="122" t="s">
        <v>100</v>
      </c>
    </row>
    <row r="24" spans="1:4" x14ac:dyDescent="0.25">
      <c r="A24" s="16" t="s">
        <v>24</v>
      </c>
      <c r="B24" s="67">
        <v>44469</v>
      </c>
      <c r="C24" s="76">
        <v>0</v>
      </c>
      <c r="D24" s="122"/>
    </row>
    <row r="25" spans="1:4" x14ac:dyDescent="0.25">
      <c r="A25" s="120" t="s">
        <v>7</v>
      </c>
      <c r="B25" s="121"/>
      <c r="C25" s="21">
        <f>SUM(C3:C24)</f>
        <v>7933</v>
      </c>
      <c r="D25" s="55"/>
    </row>
    <row r="27" spans="1:4" ht="30" x14ac:dyDescent="0.25">
      <c r="A27" s="108" t="s">
        <v>86</v>
      </c>
      <c r="B27" s="108"/>
      <c r="C27" s="31" t="s">
        <v>55</v>
      </c>
    </row>
    <row r="28" spans="1:4" x14ac:dyDescent="0.25">
      <c r="A28" s="32" t="s">
        <v>0</v>
      </c>
      <c r="B28" s="33" t="s">
        <v>1</v>
      </c>
      <c r="C28" s="32" t="s">
        <v>56</v>
      </c>
    </row>
    <row r="29" spans="1:4" x14ac:dyDescent="0.25">
      <c r="A29" s="16" t="s">
        <v>26</v>
      </c>
      <c r="B29" s="67">
        <v>44443</v>
      </c>
      <c r="C29" s="54">
        <v>630</v>
      </c>
      <c r="D29" s="27"/>
    </row>
    <row r="30" spans="1:4" x14ac:dyDescent="0.25">
      <c r="A30" s="16" t="s">
        <v>20</v>
      </c>
      <c r="B30" s="67">
        <v>44444</v>
      </c>
      <c r="C30" s="54">
        <v>488</v>
      </c>
      <c r="D30" s="28"/>
    </row>
    <row r="31" spans="1:4" x14ac:dyDescent="0.25">
      <c r="A31" s="16" t="s">
        <v>26</v>
      </c>
      <c r="B31" s="67">
        <v>44450</v>
      </c>
      <c r="C31" s="68">
        <v>727</v>
      </c>
      <c r="D31" s="28"/>
    </row>
    <row r="32" spans="1:4" x14ac:dyDescent="0.25">
      <c r="A32" s="16" t="s">
        <v>20</v>
      </c>
      <c r="B32" s="67">
        <v>44451</v>
      </c>
      <c r="C32" s="68">
        <v>638</v>
      </c>
      <c r="D32" s="28"/>
    </row>
    <row r="33" spans="1:10" x14ac:dyDescent="0.25">
      <c r="A33" s="16" t="s">
        <v>26</v>
      </c>
      <c r="B33" s="67">
        <v>44457</v>
      </c>
      <c r="C33" s="68">
        <v>641</v>
      </c>
      <c r="D33" s="28"/>
    </row>
    <row r="34" spans="1:10" x14ac:dyDescent="0.25">
      <c r="A34" s="16" t="s">
        <v>20</v>
      </c>
      <c r="B34" s="67">
        <v>44458</v>
      </c>
      <c r="C34" s="68">
        <v>699</v>
      </c>
      <c r="D34" s="28"/>
    </row>
    <row r="35" spans="1:10" x14ac:dyDescent="0.25">
      <c r="A35" s="16" t="s">
        <v>26</v>
      </c>
      <c r="B35" s="67">
        <v>44464</v>
      </c>
      <c r="C35" s="66">
        <v>790</v>
      </c>
      <c r="D35" s="77"/>
    </row>
    <row r="36" spans="1:10" x14ac:dyDescent="0.25">
      <c r="A36" s="16" t="s">
        <v>20</v>
      </c>
      <c r="B36" s="67">
        <v>44465</v>
      </c>
      <c r="C36" s="66">
        <v>775</v>
      </c>
      <c r="D36" s="28"/>
    </row>
    <row r="37" spans="1:10" x14ac:dyDescent="0.25">
      <c r="A37" s="120" t="s">
        <v>7</v>
      </c>
      <c r="B37" s="121"/>
      <c r="C37" s="69">
        <f>SUM(C29:C36)</f>
        <v>5388</v>
      </c>
    </row>
    <row r="39" spans="1:10" ht="30" x14ac:dyDescent="0.25">
      <c r="A39" s="115" t="s">
        <v>92</v>
      </c>
      <c r="B39" s="116"/>
      <c r="C39" s="117"/>
      <c r="E39" s="112" t="s">
        <v>63</v>
      </c>
      <c r="F39" s="58" t="s">
        <v>8</v>
      </c>
      <c r="G39" s="58" t="s">
        <v>64</v>
      </c>
      <c r="H39" s="59" t="s">
        <v>31</v>
      </c>
      <c r="I39" s="60" t="s">
        <v>13</v>
      </c>
      <c r="J39" s="46" t="s">
        <v>7</v>
      </c>
    </row>
    <row r="40" spans="1:10" x14ac:dyDescent="0.25">
      <c r="A40" s="118" t="s">
        <v>7</v>
      </c>
      <c r="B40" s="119"/>
      <c r="C40" s="22">
        <f>C25+C37</f>
        <v>13321</v>
      </c>
      <c r="E40" s="113"/>
      <c r="F40" s="42">
        <v>0</v>
      </c>
      <c r="G40" s="42">
        <v>0</v>
      </c>
      <c r="H40" s="44">
        <v>0</v>
      </c>
      <c r="I40" s="44">
        <v>0</v>
      </c>
      <c r="J40" s="47">
        <v>0</v>
      </c>
    </row>
    <row r="41" spans="1:10" x14ac:dyDescent="0.25">
      <c r="A41" s="118" t="s">
        <v>84</v>
      </c>
      <c r="B41" s="119"/>
      <c r="C41" s="22">
        <f>C25</f>
        <v>7933</v>
      </c>
    </row>
    <row r="42" spans="1:10" x14ac:dyDescent="0.25">
      <c r="A42" s="118" t="s">
        <v>67</v>
      </c>
      <c r="B42" s="119"/>
      <c r="C42" s="22">
        <f>AVERAGE(C3:C24)</f>
        <v>360.59090909090907</v>
      </c>
    </row>
  </sheetData>
  <mergeCells count="10">
    <mergeCell ref="A25:B25"/>
    <mergeCell ref="A27:B27"/>
    <mergeCell ref="A37:B37"/>
    <mergeCell ref="A1:B1"/>
    <mergeCell ref="D23:D24"/>
    <mergeCell ref="E39:E40"/>
    <mergeCell ref="A39:C39"/>
    <mergeCell ref="A40:B40"/>
    <mergeCell ref="A41:B41"/>
    <mergeCell ref="A42:B4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6" ma:contentTypeDescription="Create a new document." ma:contentTypeScope="" ma:versionID="8ed5a08c4ea4bafe7608c7a0bbf74949">
  <xsd:schema xmlns:xsd="http://www.w3.org/2001/XMLSchema" xmlns:xs="http://www.w3.org/2001/XMLSchema" xmlns:p="http://schemas.microsoft.com/office/2006/metadata/properties" xmlns:ns2="670d3029-f9df-404e-98fc-7004dcdec636" xmlns:ns3="5f7ac3ca-9ce0-489a-bc70-1e3f2f642f01" targetNamespace="http://schemas.microsoft.com/office/2006/metadata/properties" ma:root="true" ma:fieldsID="0f6b6dc1f77d7f192bee01dd38b44bce" ns2:_="" ns3:_=""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2BA9C6-99A6-4372-AD90-7419A6B8D22E}"/>
</file>

<file path=customXml/itemProps2.xml><?xml version="1.0" encoding="utf-8"?>
<ds:datastoreItem xmlns:ds="http://schemas.openxmlformats.org/officeDocument/2006/customXml" ds:itemID="{A53621D6-8EE6-4CFF-94D7-B928CB380B51}"/>
</file>

<file path=customXml/itemProps3.xml><?xml version="1.0" encoding="utf-8"?>
<ds:datastoreItem xmlns:ds="http://schemas.openxmlformats.org/officeDocument/2006/customXml" ds:itemID="{F784AFFE-6302-46B8-BBEE-EAC3232CA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Monthly Totals</vt:lpstr>
      <vt:lpstr>NYC Ferry</vt:lpstr>
      <vt:lpstr>NYWW (Port Imperial FC)</vt:lpstr>
      <vt:lpstr>SeaStreak</vt:lpstr>
      <vt:lpstr>New York Water Taxi</vt:lpstr>
      <vt:lpstr>Liberty Landing Ferry</vt:lpstr>
      <vt:lpstr>'Monthly Totals'!Print_Area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Yuan, Hong</cp:lastModifiedBy>
  <dcterms:created xsi:type="dcterms:W3CDTF">2021-09-06T18:54:44Z</dcterms:created>
  <dcterms:modified xsi:type="dcterms:W3CDTF">2021-11-05T19:56:34Z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